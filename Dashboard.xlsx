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521" documentId="13_ncr:1_{3C2F8ED6-40B2-4E08-832A-7140AC03FA60}" xr6:coauthVersionLast="47" xr6:coauthVersionMax="47" xr10:uidLastSave="{D976F8A6-3783-4135-BF0C-69F3671032C9}"/>
  <bookViews>
    <workbookView xWindow="-120" yWindow="-120" windowWidth="20730" windowHeight="11040" firstSheet="2" activeTab="3" xr2:uid="{28DD5B76-0634-4F87-BE60-8BFA7EF2E23B}"/>
  </bookViews>
  <sheets>
    <sheet name="A̳ssets" sheetId="1" r:id="rId1"/>
    <sheet name="B̳ases" sheetId="2" r:id="rId2"/>
    <sheet name="C̳álculos" sheetId="3" r:id="rId3"/>
    <sheet name="Dashboard" sheetId="5" r:id="rId4"/>
  </sheets>
  <calcPr calcId="191028"/>
  <pivotCaches>
    <pivotCache cacheId="40" r:id="rId5"/>
    <pivotCache cacheId="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66" i="3"/>
  <c r="D67" i="3"/>
  <c r="D65" i="3"/>
  <c r="D7" i="5"/>
</calcChain>
</file>

<file path=xl/sharedStrings.xml><?xml version="1.0" encoding="utf-8"?>
<sst xmlns="http://schemas.openxmlformats.org/spreadsheetml/2006/main" count="2044" uniqueCount="341">
  <si>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</si>
  <si>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</si>
  <si>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</si>
  <si>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</si>
  <si>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</si>
  <si>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</si>
  <si>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</si>
  <si>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</si>
  <si>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</si>
  <si>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</si>
  <si>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</si>
  <si>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</si>
  <si>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</si>
  <si>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</si>
  <si>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</si>
  <si>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</si>
  <si>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</si>
  <si>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</si>
  <si>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</si>
  <si>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</si>
  <si>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</si>
  <si>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</si>
  <si>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</si>
  <si>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</si>
  <si>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</si>
  <si>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</si>
  <si>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</si>
  <si>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</si>
  <si>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</si>
  <si>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</si>
  <si>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</si>
  <si>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</si>
  <si>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</si>
  <si>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</si>
  <si>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</si>
  <si>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</si>
  <si>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</si>
  <si>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</si>
  <si>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</si>
  <si>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</si>
  <si>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</si>
  <si>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</si>
  <si>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</si>
  <si>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</si>
  <si>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</si>
  <si>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</si>
  <si>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</si>
  <si>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</si>
  <si>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</si>
  <si>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</si>
  <si>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</si>
  <si>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</si>
  <si>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</si>
  <si>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</si>
  <si>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</si>
  <si>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</si>
  <si>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</si>
  <si>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</si>
  <si>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</si>
  <si>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</si>
  <si>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</si>
  <si>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</si>
  <si>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</si>
  <si>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</si>
  <si>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</si>
  <si>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</si>
  <si>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</si>
  <si>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</si>
  <si>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</si>
  <si>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</si>
  <si>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</si>
  <si>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</si>
  <si>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</si>
  <si>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</si>
  <si>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</si>
  <si>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</si>
  <si>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</si>
  <si>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</si>
  <si>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</si>
  <si>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</si>
  <si>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</si>
  <si>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</si>
  <si>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</si>
  <si>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</si>
  <si>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</si>
  <si>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</si>
  <si>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</si>
  <si>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</si>
  <si>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</si>
  <si>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</si>
  <si>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</si>
  <si>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</si>
  <si>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</si>
  <si>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</si>
  <si>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</si>
  <si>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</si>
  <si>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</si>
  <si>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</si>
  <si>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</si>
  <si>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</si>
  <si>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</si>
  <si>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</si>
  <si>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</si>
  <si>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</si>
  <si>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</si>
  <si>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</si>
  <si>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</si>
  <si>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</si>
  <si>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</si>
  <si>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</si>
  <si>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</si>
  <si>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</si>
  <si>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</si>
  <si>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</si>
  <si>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</si>
  <si>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</si>
  <si>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</si>
  <si>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</si>
  <si>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</si>
  <si>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</si>
  <si>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</si>
  <si>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</si>
  <si>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</si>
  <si>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</si>
  <si>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</si>
  <si>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</si>
  <si>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</si>
  <si>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</si>
  <si>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</si>
  <si>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</si>
  <si>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</si>
  <si>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</si>
  <si>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</si>
  <si>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</si>
  <si>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</si>
  <si>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</si>
  <si>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</si>
  <si>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</si>
  <si>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</si>
  <si>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</si>
  <si>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</si>
  <si>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</si>
  <si>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</si>
  <si>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</si>
  <si>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</si>
  <si>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</si>
  <si>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</si>
  <si>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</si>
  <si>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</si>
  <si>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</si>
  <si>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</si>
  <si>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</si>
  <si>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</si>
  <si>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</si>
  <si>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</si>
  <si>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</si>
  <si>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</si>
  <si>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</si>
  <si>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</si>
  <si>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</si>
  <si>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</si>
  <si>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</si>
  <si>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</si>
  <si>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</si>
  <si>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</si>
  <si>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</si>
  <si>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</si>
  <si>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</si>
  <si>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</si>
  <si>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</si>
  <si>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</si>
  <si>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</si>
  <si>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</si>
  <si>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</si>
  <si>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</si>
  <si>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</si>
  <si>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</si>
  <si>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</si>
  <si>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</si>
  <si>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</si>
  <si>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</si>
  <si>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</si>
  <si>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</si>
  <si>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</si>
  <si>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</si>
  <si>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</si>
  <si>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</si>
  <si>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</si>
  <si>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</si>
  <si>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</si>
  <si>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</si>
  <si>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</si>
  <si>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</si>
  <si>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</si>
  <si>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</si>
  <si>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</si>
  <si>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</si>
  <si>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</si>
  <si>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</si>
  <si>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</si>
  <si>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</si>
  <si>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</si>
  <si>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</si>
  <si>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</si>
  <si>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</si>
  <si>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</si>
  <si>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</si>
  <si>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</si>
  <si>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</si>
  <si>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</si>
  <si>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</si>
  <si>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</si>
  <si>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</si>
  <si>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</si>
  <si>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</si>
  <si>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</si>
  <si>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</si>
  <si>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</si>
  <si>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</si>
  <si>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</si>
  <si>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</si>
  <si>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</si>
  <si>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</si>
  <si>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</si>
  <si>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</si>
  <si>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</si>
  <si>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</si>
  <si>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</si>
  <si>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</si>
  <si>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</si>
  <si>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</si>
  <si>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</si>
  <si>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</si>
  <si>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</si>
  <si>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</si>
  <si>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</si>
  <si>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</si>
  <si>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</si>
  <si>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</si>
  <si>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</si>
  <si>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</si>
  <si>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</si>
  <si>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</si>
  <si>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</si>
  <si>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</si>
  <si>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</si>
  <si>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</si>
  <si>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</si>
  <si>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</si>
  <si>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</si>
  <si>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</si>
  <si>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</si>
  <si>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</si>
  <si>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</si>
  <si>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</si>
  <si>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</si>
  <si>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</si>
  <si>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</si>
  <si>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</si>
  <si>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</si>
  <si>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</si>
  <si>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</si>
  <si>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</si>
  <si>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</si>
  <si>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</si>
  <si>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</si>
  <si>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</si>
  <si>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</si>
  <si>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</si>
  <si>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</si>
  <si>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</si>
  <si>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</si>
  <si>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</si>
  <si>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</si>
  <si>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</si>
  <si>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</si>
  <si>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</si>
  <si>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</si>
  <si>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</si>
  <si>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</si>
  <si>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</si>
  <si>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</si>
  <si>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</si>
  <si>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</si>
  <si>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</si>
  <si>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</si>
  <si>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</si>
  <si>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</si>
  <si>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</si>
  <si>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</si>
  <si>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</si>
  <si>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</si>
  <si>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</si>
  <si>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</si>
  <si>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</si>
  <si>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</si>
  <si>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</si>
  <si>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</si>
  <si>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</si>
  <si>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</si>
  <si>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</si>
  <si>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</si>
  <si>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</si>
  <si>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</si>
  <si>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</si>
  <si>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</si>
  <si>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</si>
  <si>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</si>
  <si>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</si>
  <si>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</si>
  <si>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</si>
  <si>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</si>
  <si>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</si>
  <si>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Count of Auto Renewal</t>
  </si>
  <si>
    <t>Grand Total</t>
  </si>
  <si>
    <t>Sum of Total Value</t>
  </si>
  <si>
    <t>Count of Subscription Type</t>
  </si>
  <si>
    <t>Sum of Minecraft Season Pass Price</t>
  </si>
  <si>
    <t>Sum of Coupon Value</t>
  </si>
  <si>
    <t>Count of Start Date</t>
  </si>
  <si>
    <t>Column1</t>
  </si>
  <si>
    <t>Count of Column1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</si>
  <si>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</si>
  <si>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</si>
  <si>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</si>
  <si>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</si>
  <si>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</si>
  <si>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</si>
  <si>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</si>
  <si>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</si>
  <si>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</si>
  <si>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</si>
  <si>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</si>
  <si>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</si>
  <si>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Dashboard</t>
  </si>
  <si>
    <t>REVENUE</t>
  </si>
  <si>
    <t>Auto Renewal Amount</t>
  </si>
  <si>
    <t>Tipo de plano aderido pelos usuarios</t>
  </si>
  <si>
    <t>Quantidade de assinaturas realizadas em cada mes</t>
  </si>
  <si>
    <t>Quantidade de subscricoes por tipo</t>
  </si>
  <si>
    <t>Valores totais por cupons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</si>
</sst>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$&quot;#,##0.00"/>
  </numFmts>
  <fonts count="10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Calibri"/>
      <scheme val="minor"/>
    </font>
    <font>
      <sz val="16"/>
      <color theme="1"/>
      <name val="Aptos Display"/>
      <scheme val="major"/>
    </font>
    <font>
      <sz val="11"/>
      <color theme="1"/>
      <name val="Aptos Display"/>
      <scheme val="major"/>
    </font>
    <font>
      <sz val="36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164" fontId="4" fillId="0" borderId="0" applyFont="0" applyFill="0" applyBorder="0" applyAlignment="0" applyProtection="0"/>
    <xf numFmtId="0" fontId="2" fillId="11" borderId="0" applyNumberFormat="0" applyBorder="0" applyAlignment="0" applyProtection="0">
      <alignment vertical="center"/>
    </xf>
  </cellStyleXfs>
  <cellXfs count="33">
    <xf numFmtId="0" fontId="0" fillId="0" borderId="0" xfId="0"/>
    <xf numFmtId="0" fontId="3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0" xfId="0" applyAlignment="1">
      <alignment wrapText="1"/>
    </xf>
    <xf numFmtId="0" fontId="0" fillId="8" borderId="0" xfId="0" applyFill="1" applyAlignment="1"/>
    <xf numFmtId="0" fontId="0" fillId="10" borderId="0" xfId="0" applyFill="1" applyAlignment="1"/>
    <xf numFmtId="0" fontId="0" fillId="10" borderId="0" xfId="0" applyFill="1" applyAlignment="1">
      <alignment horizontal="center"/>
    </xf>
    <xf numFmtId="0" fontId="0" fillId="10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12" borderId="0" xfId="0" applyFill="1" applyAlignment="1"/>
    <xf numFmtId="0" fontId="0" fillId="9" borderId="0" xfId="0" applyFill="1"/>
    <xf numFmtId="0" fontId="0" fillId="14" borderId="0" xfId="0" applyFill="1"/>
    <xf numFmtId="14" fontId="0" fillId="0" borderId="0" xfId="0" applyNumberFormat="1"/>
    <xf numFmtId="0" fontId="0" fillId="9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9" fillId="8" borderId="0" xfId="0" applyFont="1" applyFill="1" applyAlignment="1">
      <alignment horizontal="left" vertical="center"/>
    </xf>
    <xf numFmtId="0" fontId="8" fillId="11" borderId="0" xfId="3" applyFont="1" applyAlignment="1">
      <alignment horizontal="center"/>
    </xf>
    <xf numFmtId="165" fontId="6" fillId="9" borderId="0" xfId="3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1" fillId="12" borderId="0" xfId="3" applyFont="1" applyFill="1" applyAlignment="1"/>
  </cellXfs>
  <cellStyles count="4">
    <cellStyle name="40% - Accent6" xfId="3" builtinId="51"/>
    <cellStyle name="Currency" xfId="2" builtinId="4"/>
    <cellStyle name="Heading 1" xfId="1" builtinId="16"/>
    <cellStyle name="Normal" xfId="0" builtinId="0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[805d54f9-6d53-4246-bed7-4aa2da615923.xlsx]C̳álculos!PivotTable3</c:name>
    <c:fmtId val="6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D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1A983"/>
          </a:solidFill>
          <a:ln>
            <a:noFill/>
          </a:ln>
          <a:effectLst/>
        </c:spPr>
      </c:pivotFmt>
      <c:pivotFmt>
        <c:idx val="6"/>
        <c:spPr>
          <a:solidFill>
            <a:srgbClr val="8ED973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D973"/>
            </a:solidFill>
          </c:spPr>
          <c:dPt>
            <c:idx val="0"/>
            <c:bubble3D val="0"/>
            <c:spPr>
              <a:solidFill>
                <a:srgbClr val="F1A9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1B-4D09-B5A6-BC0CDBBEA9F3}"/>
              </c:ext>
            </c:extLst>
          </c:dPt>
          <c:dPt>
            <c:idx val="1"/>
            <c:bubble3D val="0"/>
            <c:spPr>
              <a:solidFill>
                <a:srgbClr val="8ED9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92-4126-8299-E4D21AB61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C̳álculos!$A$13:$A$15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C̳álculos!$B$13:$B$15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C-4F9A-B0E4-34FC08E8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[805d54f9-6d53-4246-bed7-4aa2da615923.xlsx]C̳álculos!PivotTable1</c:name>
    <c:fmtId val="4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E6A2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C̳álculos!$A$21:$A$24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C̳álculos!$B$21:$B$24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2-4487-BDC0-32D22DE5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263"/>
        <c:axId val="7970311"/>
      </c:barChart>
      <c:catAx>
        <c:axId val="796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311"/>
        <c:crosses val="autoZero"/>
        <c:auto val="1"/>
        <c:lblAlgn val="ctr"/>
        <c:lblOffset val="100"/>
        <c:noMultiLvlLbl val="0"/>
      </c:catAx>
      <c:valAx>
        <c:axId val="7970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68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[805d54f9-6d53-4246-bed7-4aa2da615923.xlsx]C̳álculos!PivotTable7</c:name>
    <c:fmtId val="9"/>
  </c:pivotSource>
  <c:chart>
    <c:autoTitleDeleted val="1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49EDD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B5E6A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83CCE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49E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20-4248-826C-1479903D7458}"/>
              </c:ext>
            </c:extLst>
          </c:dPt>
          <c:dPt>
            <c:idx val="1"/>
            <c:bubble3D val="0"/>
            <c:spPr>
              <a:solidFill>
                <a:srgbClr val="B5E6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20-4248-826C-1479903D7458}"/>
              </c:ext>
            </c:extLst>
          </c:dPt>
          <c:dPt>
            <c:idx val="2"/>
            <c:bubble3D val="0"/>
            <c:spPr>
              <a:solidFill>
                <a:srgbClr val="83CC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20-4248-826C-1479903D7458}"/>
              </c:ext>
            </c:extLst>
          </c:dPt>
          <c:cat>
            <c:strRef>
              <c:f>C̳álculos!$A$58:$A$61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C̳álculos!$B$58:$B$61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0-4248-826C-1479903D7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[805d54f9-6d53-4246-bed7-4aa2da615923.xlsx]C̳álculos!PivotTable6</c:name>
    <c:fmtId val="6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cat>
            <c:strRef>
              <c:f>C̳álculos!$A$44:$A$55</c:f>
              <c:strCache>
                <c:ptCount val="11"/>
                <c:pt idx="0">
                  <c:v> R$ -   </c:v>
                </c:pt>
                <c:pt idx="1">
                  <c:v> R$ 1.00 </c:v>
                </c:pt>
                <c:pt idx="2">
                  <c:v> R$ 2.00 </c:v>
                </c:pt>
                <c:pt idx="3">
                  <c:v> R$ 3.00 </c:v>
                </c:pt>
                <c:pt idx="4">
                  <c:v> R$ 5.00 </c:v>
                </c:pt>
                <c:pt idx="5">
                  <c:v> R$ 7.00 </c:v>
                </c:pt>
                <c:pt idx="6">
                  <c:v> R$ 8.00 </c:v>
                </c:pt>
                <c:pt idx="7">
                  <c:v> R$ 10.00 </c:v>
                </c:pt>
                <c:pt idx="8">
                  <c:v> R$ 12.00 </c:v>
                </c:pt>
                <c:pt idx="9">
                  <c:v> R$ 15.00 </c:v>
                </c:pt>
                <c:pt idx="10">
                  <c:v> R$ 20.00 </c:v>
                </c:pt>
              </c:strCache>
            </c:strRef>
          </c:cat>
          <c:val>
            <c:numRef>
              <c:f>C̳álculos!$B$44:$B$55</c:f>
              <c:numCache>
                <c:formatCode>_-"R$"\ * #,##0.00_-;\-"R$"\ * #,##0.00_-;_-"R$"\ * "-"??_-;_-@_-</c:formatCode>
                <c:ptCount val="11"/>
                <c:pt idx="0">
                  <c:v>0</c:v>
                </c:pt>
                <c:pt idx="1">
                  <c:v>39</c:v>
                </c:pt>
                <c:pt idx="2">
                  <c:v>24</c:v>
                </c:pt>
                <c:pt idx="3">
                  <c:v>63</c:v>
                </c:pt>
                <c:pt idx="4">
                  <c:v>125</c:v>
                </c:pt>
                <c:pt idx="5">
                  <c:v>161</c:v>
                </c:pt>
                <c:pt idx="6">
                  <c:v>8</c:v>
                </c:pt>
                <c:pt idx="7">
                  <c:v>440</c:v>
                </c:pt>
                <c:pt idx="8">
                  <c:v>132</c:v>
                </c:pt>
                <c:pt idx="9">
                  <c:v>690</c:v>
                </c:pt>
                <c:pt idx="10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C-4E86-8561-CA1A31CB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485640"/>
        <c:axId val="1604513800"/>
      </c:barChart>
      <c:catAx>
        <c:axId val="1588485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13800"/>
        <c:crosses val="autoZero"/>
        <c:auto val="1"/>
        <c:lblAlgn val="ctr"/>
        <c:lblOffset val="100"/>
        <c:noMultiLvlLbl val="0"/>
      </c:catAx>
      <c:valAx>
        <c:axId val="160451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48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[805d54f9-6d53-4246-bed7-4aa2da615923.xlsx]C̳álculos!PivotTable8</c:name>
    <c:fmtId val="6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C̳álculos!$E$64:$E$76</c:f>
              <c:strCache>
                <c:ptCount val="12"/>
                <c:pt idx="0">
                  <c:v>01/2024</c:v>
                </c:pt>
                <c:pt idx="1">
                  <c:v>02/2024</c:v>
                </c:pt>
                <c:pt idx="2">
                  <c:v>03/2024</c:v>
                </c:pt>
                <c:pt idx="3">
                  <c:v>04/2024</c:v>
                </c:pt>
                <c:pt idx="4">
                  <c:v>05/2024</c:v>
                </c:pt>
                <c:pt idx="5">
                  <c:v>06/2024</c:v>
                </c:pt>
                <c:pt idx="6">
                  <c:v>07/2024</c:v>
                </c:pt>
                <c:pt idx="7">
                  <c:v>08/2024</c:v>
                </c:pt>
                <c:pt idx="8">
                  <c:v>09/2024</c:v>
                </c:pt>
                <c:pt idx="9">
                  <c:v>10/2024</c:v>
                </c:pt>
                <c:pt idx="10">
                  <c:v>11/2024</c:v>
                </c:pt>
                <c:pt idx="11">
                  <c:v>12/2024</c:v>
                </c:pt>
              </c:strCache>
            </c:strRef>
          </c:cat>
          <c:val>
            <c:numRef>
              <c:f>C̳álculos!$F$64:$F$76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30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0F1-A097-0BBE29ECA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267400"/>
        <c:axId val="638269448"/>
      </c:barChart>
      <c:catAx>
        <c:axId val="63826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69448"/>
        <c:crosses val="autoZero"/>
        <c:auto val="1"/>
        <c:lblAlgn val="ctr"/>
        <c:lblOffset val="100"/>
        <c:noMultiLvlLbl val="0"/>
      </c:catAx>
      <c:valAx>
        <c:axId val="638269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26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561975</xdr:colOff>
      <xdr:row>22</xdr:row>
      <xdr:rowOff>76199</xdr:rowOff>
    </xdr:from>
    <xdr:to>
      <xdr:col>6</xdr:col>
      <xdr:colOff>282651</xdr:colOff>
      <xdr:row>26</xdr:row>
      <xdr:rowOff>66675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390775" y="44195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552450</xdr:colOff>
      <xdr:row>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D972B-91B0-4A2F-8E96-835E42FF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7275"/>
        <a:stretch>
          <a:fillRect/>
        </a:stretch>
      </xdr:blipFill>
      <xdr:spPr>
        <a:xfrm>
          <a:off x="66675" y="0"/>
          <a:ext cx="1095375" cy="1019175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5</xdr:row>
      <xdr:rowOff>171450</xdr:rowOff>
    </xdr:from>
    <xdr:to>
      <xdr:col>9</xdr:col>
      <xdr:colOff>0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FB4AF-C1EC-4944-B473-326CF656D02F}"/>
            </a:ext>
            <a:ext uri="{147F2762-F138-4A5C-976F-8EAC2B608ADB}">
              <a16:predDERef xmlns:a16="http://schemas.microsoft.com/office/drawing/2014/main" pred="{53DD972B-91B0-4A2F-8E96-835E42FF9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14</xdr:row>
      <xdr:rowOff>180975</xdr:rowOff>
    </xdr:from>
    <xdr:to>
      <xdr:col>9</xdr:col>
      <xdr:colOff>0</xdr:colOff>
      <xdr:row>30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1D5817-A8E0-462D-8C75-F560023694C2}"/>
            </a:ext>
            <a:ext uri="{147F2762-F138-4A5C-976F-8EAC2B608ADB}">
              <a16:predDERef xmlns:a16="http://schemas.microsoft.com/office/drawing/2014/main" pred="{4ADFB4AF-C1EC-4944-B473-326CF656D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</xdr:row>
      <xdr:rowOff>180975</xdr:rowOff>
    </xdr:from>
    <xdr:to>
      <xdr:col>18</xdr:col>
      <xdr:colOff>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DD14AE-5510-4C91-A6F5-FD2AA95F6678}"/>
            </a:ext>
            <a:ext uri="{147F2762-F138-4A5C-976F-8EAC2B608ADB}">
              <a16:predDERef xmlns:a16="http://schemas.microsoft.com/office/drawing/2014/main" pred="{F91D5817-A8E0-462D-8C75-F56002369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19</xdr:row>
      <xdr:rowOff>171450</xdr:rowOff>
    </xdr:from>
    <xdr:to>
      <xdr:col>17</xdr:col>
      <xdr:colOff>600075</xdr:colOff>
      <xdr:row>30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E7AC94-9703-4DDA-BF3C-3A563458615B}"/>
            </a:ext>
            <a:ext uri="{147F2762-F138-4A5C-976F-8EAC2B608ADB}">
              <a16:predDERef xmlns:a16="http://schemas.microsoft.com/office/drawing/2014/main" pred="{CCDD14AE-5510-4C91-A6F5-FD2AA95F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238125</xdr:colOff>
      <xdr:row>6</xdr:row>
      <xdr:rowOff>161925</xdr:rowOff>
    </xdr:from>
    <xdr:to>
      <xdr:col>23</xdr:col>
      <xdr:colOff>0</xdr:colOff>
      <xdr:row>29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56A491-50B0-4245-B7F9-FC6942329094}"/>
            </a:ext>
            <a:ext uri="{147F2762-F138-4A5C-976F-8EAC2B608ADB}">
              <a16:predDERef xmlns:a16="http://schemas.microsoft.com/office/drawing/2014/main" pred="{8CE7AC94-9703-4DDA-BF3C-3A563458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0.075036805552" createdVersion="8" refreshedVersion="8" minRefreshableVersion="3" recordCount="295" xr:uid="{C92D5B67-255D-4FC3-9C56-822B0E01955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8.747593287037" createdVersion="8" refreshedVersion="8" minRefreshableVersion="3" recordCount="294" xr:uid="{AE481216-0F78-4638-9855-D5D4BB766728}">
  <cacheSource type="worksheet">
    <worksheetSource name="Table2"/>
  </cacheSource>
  <cacheFields count="1">
    <cacheField name="Column1" numFmtId="0">
      <sharedItems count="12"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s v="Yes"/>
    <n v="20"/>
    <x v="0"/>
    <n v="60"/>
  </r>
  <r>
    <n v="3232"/>
    <s v="Maria Oliveira"/>
    <x v="1"/>
    <x v="1"/>
    <x v="1"/>
    <n v="5"/>
    <x v="1"/>
    <x v="1"/>
    <s v="-"/>
    <s v="No"/>
    <n v="0"/>
    <x v="1"/>
    <n v="5"/>
  </r>
  <r>
    <n v="3233"/>
    <s v="Lucas Fernandes"/>
    <x v="2"/>
    <x v="2"/>
    <x v="0"/>
    <n v="10"/>
    <x v="2"/>
    <x v="1"/>
    <s v="-"/>
    <s v="Yes"/>
    <n v="20"/>
    <x v="2"/>
    <n v="20"/>
  </r>
  <r>
    <n v="3234"/>
    <s v="Ana Souza"/>
    <x v="0"/>
    <x v="3"/>
    <x v="1"/>
    <n v="15"/>
    <x v="0"/>
    <x v="0"/>
    <n v="30"/>
    <s v="Yes"/>
    <n v="20"/>
    <x v="3"/>
    <n v="62"/>
  </r>
  <r>
    <n v="3235"/>
    <s v="Pedro Gonçalves"/>
    <x v="1"/>
    <x v="4"/>
    <x v="0"/>
    <n v="5"/>
    <x v="0"/>
    <x v="1"/>
    <s v="-"/>
    <s v="No"/>
    <n v="0"/>
    <x v="4"/>
    <n v="4"/>
  </r>
  <r>
    <n v="3236"/>
    <s v="Felipe Costa"/>
    <x v="2"/>
    <x v="5"/>
    <x v="1"/>
    <n v="10"/>
    <x v="0"/>
    <x v="1"/>
    <s v="-"/>
    <s v="Yes"/>
    <n v="20"/>
    <x v="5"/>
    <n v="28"/>
  </r>
  <r>
    <n v="3237"/>
    <s v="Camila Ribeiro"/>
    <x v="0"/>
    <x v="6"/>
    <x v="0"/>
    <n v="15"/>
    <x v="2"/>
    <x v="0"/>
    <n v="30"/>
    <s v="Yes"/>
    <n v="20"/>
    <x v="2"/>
    <n v="55"/>
  </r>
  <r>
    <n v="3238"/>
    <s v="André Mendes"/>
    <x v="1"/>
    <x v="7"/>
    <x v="0"/>
    <n v="5"/>
    <x v="1"/>
    <x v="1"/>
    <s v="-"/>
    <s v="No"/>
    <n v="0"/>
    <x v="1"/>
    <n v="5"/>
  </r>
  <r>
    <n v="3239"/>
    <s v="Sofia Almeida"/>
    <x v="0"/>
    <x v="4"/>
    <x v="1"/>
    <n v="15"/>
    <x v="0"/>
    <x v="0"/>
    <n v="30"/>
    <s v="Yes"/>
    <n v="20"/>
    <x v="0"/>
    <n v="60"/>
  </r>
  <r>
    <n v="3240"/>
    <s v="Bruno Martins"/>
    <x v="2"/>
    <x v="8"/>
    <x v="0"/>
    <n v="10"/>
    <x v="2"/>
    <x v="1"/>
    <s v="-"/>
    <s v="Yes"/>
    <n v="20"/>
    <x v="6"/>
    <n v="15"/>
  </r>
  <r>
    <n v="3241"/>
    <s v="Rita Castro"/>
    <x v="1"/>
    <x v="9"/>
    <x v="1"/>
    <n v="5"/>
    <x v="0"/>
    <x v="1"/>
    <s v="-"/>
    <s v="No"/>
    <n v="0"/>
    <x v="4"/>
    <n v="4"/>
  </r>
  <r>
    <n v="3242"/>
    <s v="Marco Túlio"/>
    <x v="0"/>
    <x v="10"/>
    <x v="0"/>
    <n v="15"/>
    <x v="1"/>
    <x v="0"/>
    <n v="30"/>
    <s v="Yes"/>
    <n v="20"/>
    <x v="7"/>
    <n v="45"/>
  </r>
  <r>
    <n v="3243"/>
    <s v="Lívia Silveira"/>
    <x v="2"/>
    <x v="11"/>
    <x v="1"/>
    <n v="10"/>
    <x v="0"/>
    <x v="1"/>
    <s v="-"/>
    <s v="Yes"/>
    <n v="20"/>
    <x v="2"/>
    <n v="20"/>
  </r>
  <r>
    <n v="3244"/>
    <s v="Diogo Sousa"/>
    <x v="1"/>
    <x v="12"/>
    <x v="0"/>
    <n v="5"/>
    <x v="2"/>
    <x v="1"/>
    <s v="-"/>
    <s v="No"/>
    <n v="0"/>
    <x v="1"/>
    <n v="5"/>
  </r>
  <r>
    <n v="3245"/>
    <s v="Fernanda Lima"/>
    <x v="0"/>
    <x v="13"/>
    <x v="1"/>
    <n v="15"/>
    <x v="0"/>
    <x v="0"/>
    <n v="30"/>
    <s v="Yes"/>
    <n v="20"/>
    <x v="8"/>
    <n v="57"/>
  </r>
  <r>
    <n v="3246"/>
    <s v="Caio Pereira"/>
    <x v="2"/>
    <x v="14"/>
    <x v="0"/>
    <n v="10"/>
    <x v="1"/>
    <x v="1"/>
    <s v="-"/>
    <s v="Yes"/>
    <n v="20"/>
    <x v="9"/>
    <n v="18"/>
  </r>
  <r>
    <n v="3247"/>
    <s v="Beatriz Gomes"/>
    <x v="1"/>
    <x v="15"/>
    <x v="1"/>
    <n v="5"/>
    <x v="0"/>
    <x v="1"/>
    <s v="-"/>
    <s v="No"/>
    <n v="0"/>
    <x v="5"/>
    <n v="3"/>
  </r>
  <r>
    <n v="3248"/>
    <s v="Cesar Oliveira"/>
    <x v="0"/>
    <x v="16"/>
    <x v="0"/>
    <n v="15"/>
    <x v="2"/>
    <x v="0"/>
    <n v="30"/>
    <s v="Yes"/>
    <n v="20"/>
    <x v="10"/>
    <n v="58"/>
  </r>
  <r>
    <n v="3249"/>
    <s v="Débora Machado"/>
    <x v="2"/>
    <x v="17"/>
    <x v="1"/>
    <n v="10"/>
    <x v="0"/>
    <x v="1"/>
    <s v="-"/>
    <s v="Yes"/>
    <n v="20"/>
    <x v="0"/>
    <n v="25"/>
  </r>
  <r>
    <n v="3250"/>
    <s v="Eduardo Vargas"/>
    <x v="1"/>
    <x v="18"/>
    <x v="0"/>
    <n v="5"/>
    <x v="1"/>
    <x v="1"/>
    <s v="-"/>
    <s v="No"/>
    <n v="0"/>
    <x v="1"/>
    <n v="5"/>
  </r>
  <r>
    <n v="3251"/>
    <s v="Gabriela Santos"/>
    <x v="0"/>
    <x v="19"/>
    <x v="1"/>
    <n v="15"/>
    <x v="0"/>
    <x v="0"/>
    <n v="30"/>
    <s v="Yes"/>
    <n v="20"/>
    <x v="3"/>
    <n v="62"/>
  </r>
  <r>
    <n v="3252"/>
    <s v="Henrique Dias"/>
    <x v="2"/>
    <x v="20"/>
    <x v="0"/>
    <n v="10"/>
    <x v="2"/>
    <x v="1"/>
    <s v="-"/>
    <s v="Yes"/>
    <n v="20"/>
    <x v="6"/>
    <n v="15"/>
  </r>
  <r>
    <n v="3253"/>
    <s v="Isabela Moreira"/>
    <x v="1"/>
    <x v="21"/>
    <x v="1"/>
    <n v="5"/>
    <x v="0"/>
    <x v="1"/>
    <s v="-"/>
    <s v="No"/>
    <n v="0"/>
    <x v="4"/>
    <n v="4"/>
  </r>
  <r>
    <n v="3254"/>
    <s v="Joaquim Barbosa"/>
    <x v="0"/>
    <x v="22"/>
    <x v="0"/>
    <n v="15"/>
    <x v="1"/>
    <x v="0"/>
    <n v="30"/>
    <s v="Yes"/>
    <n v="20"/>
    <x v="7"/>
    <n v="45"/>
  </r>
  <r>
    <n v="3255"/>
    <s v="Lara Rocha"/>
    <x v="2"/>
    <x v="23"/>
    <x v="1"/>
    <n v="10"/>
    <x v="0"/>
    <x v="1"/>
    <s v="-"/>
    <s v="Yes"/>
    <n v="20"/>
    <x v="2"/>
    <n v="20"/>
  </r>
  <r>
    <n v="3256"/>
    <s v="Matheus Silva"/>
    <x v="1"/>
    <x v="24"/>
    <x v="0"/>
    <n v="5"/>
    <x v="2"/>
    <x v="1"/>
    <s v="-"/>
    <s v="No"/>
    <n v="0"/>
    <x v="1"/>
    <n v="5"/>
  </r>
  <r>
    <n v="3257"/>
    <s v="Nicole Costa"/>
    <x v="0"/>
    <x v="25"/>
    <x v="1"/>
    <n v="15"/>
    <x v="0"/>
    <x v="0"/>
    <n v="30"/>
    <s v="Yes"/>
    <n v="20"/>
    <x v="0"/>
    <n v="60"/>
  </r>
  <r>
    <n v="3258"/>
    <s v="Otávio Mendonça"/>
    <x v="2"/>
    <x v="26"/>
    <x v="0"/>
    <n v="10"/>
    <x v="1"/>
    <x v="1"/>
    <s v="-"/>
    <s v="Yes"/>
    <n v="20"/>
    <x v="6"/>
    <n v="15"/>
  </r>
  <r>
    <n v="3259"/>
    <s v="Paula Ferreira"/>
    <x v="1"/>
    <x v="27"/>
    <x v="1"/>
    <n v="5"/>
    <x v="0"/>
    <x v="1"/>
    <s v="-"/>
    <s v="No"/>
    <n v="0"/>
    <x v="4"/>
    <n v="4"/>
  </r>
  <r>
    <n v="3260"/>
    <s v="Raquel Alves"/>
    <x v="0"/>
    <x v="28"/>
    <x v="0"/>
    <n v="15"/>
    <x v="2"/>
    <x v="0"/>
    <n v="30"/>
    <s v="Yes"/>
    <n v="20"/>
    <x v="10"/>
    <n v="58"/>
  </r>
  <r>
    <n v="3261"/>
    <s v="Samuel Pires"/>
    <x v="2"/>
    <x v="29"/>
    <x v="1"/>
    <n v="10"/>
    <x v="0"/>
    <x v="1"/>
    <s v="-"/>
    <s v="Yes"/>
    <n v="20"/>
    <x v="2"/>
    <n v="20"/>
  </r>
  <r>
    <n v="3262"/>
    <s v="Tânia Barros"/>
    <x v="1"/>
    <x v="30"/>
    <x v="0"/>
    <n v="5"/>
    <x v="1"/>
    <x v="1"/>
    <s v="-"/>
    <s v="No"/>
    <n v="0"/>
    <x v="1"/>
    <n v="5"/>
  </r>
  <r>
    <n v="3263"/>
    <s v="Vinicius Lima"/>
    <x v="0"/>
    <x v="31"/>
    <x v="1"/>
    <n v="15"/>
    <x v="0"/>
    <x v="0"/>
    <n v="30"/>
    <s v="Yes"/>
    <n v="20"/>
    <x v="3"/>
    <n v="62"/>
  </r>
  <r>
    <n v="3264"/>
    <s v="Yasmin Teixeira"/>
    <x v="2"/>
    <x v="32"/>
    <x v="0"/>
    <n v="10"/>
    <x v="2"/>
    <x v="1"/>
    <s v="-"/>
    <s v="Yes"/>
    <n v="20"/>
    <x v="6"/>
    <n v="15"/>
  </r>
  <r>
    <n v="3265"/>
    <s v="Zé Carlos"/>
    <x v="1"/>
    <x v="33"/>
    <x v="1"/>
    <n v="5"/>
    <x v="0"/>
    <x v="1"/>
    <s v="-"/>
    <s v="No"/>
    <n v="0"/>
    <x v="4"/>
    <n v="4"/>
  </r>
  <r>
    <n v="3266"/>
    <s v="Amanda Nogueira"/>
    <x v="1"/>
    <x v="34"/>
    <x v="0"/>
    <n v="5"/>
    <x v="0"/>
    <x v="1"/>
    <s v="-"/>
    <s v="No"/>
    <n v="0"/>
    <x v="1"/>
    <n v="5"/>
  </r>
  <r>
    <n v="3267"/>
    <s v="Bruno Cavalheiro"/>
    <x v="0"/>
    <x v="35"/>
    <x v="1"/>
    <n v="15"/>
    <x v="2"/>
    <x v="0"/>
    <n v="30"/>
    <s v="Yes"/>
    <n v="20"/>
    <x v="10"/>
    <n v="58"/>
  </r>
  <r>
    <n v="3268"/>
    <s v="Carla Dias"/>
    <x v="2"/>
    <x v="36"/>
    <x v="0"/>
    <n v="10"/>
    <x v="1"/>
    <x v="1"/>
    <s v="-"/>
    <s v="Yes"/>
    <n v="20"/>
    <x v="2"/>
    <n v="20"/>
  </r>
  <r>
    <n v="3269"/>
    <s v="Diego Fontes"/>
    <x v="1"/>
    <x v="37"/>
    <x v="1"/>
    <n v="5"/>
    <x v="2"/>
    <x v="1"/>
    <s v="-"/>
    <s v="No"/>
    <n v="0"/>
    <x v="4"/>
    <n v="4"/>
  </r>
  <r>
    <n v="3270"/>
    <s v="Eunice Lima"/>
    <x v="0"/>
    <x v="38"/>
    <x v="0"/>
    <n v="15"/>
    <x v="0"/>
    <x v="0"/>
    <n v="30"/>
    <s v="Yes"/>
    <n v="20"/>
    <x v="6"/>
    <n v="50"/>
  </r>
  <r>
    <n v="3271"/>
    <s v="Fábio Martins"/>
    <x v="2"/>
    <x v="39"/>
    <x v="1"/>
    <n v="10"/>
    <x v="0"/>
    <x v="1"/>
    <s v="-"/>
    <s v="Yes"/>
    <n v="20"/>
    <x v="0"/>
    <n v="25"/>
  </r>
  <r>
    <n v="3272"/>
    <s v="Gisele Araújo"/>
    <x v="1"/>
    <x v="40"/>
    <x v="0"/>
    <n v="5"/>
    <x v="1"/>
    <x v="1"/>
    <s v="-"/>
    <s v="No"/>
    <n v="0"/>
    <x v="1"/>
    <n v="5"/>
  </r>
  <r>
    <n v="3273"/>
    <s v="Hélio Castro"/>
    <x v="0"/>
    <x v="41"/>
    <x v="1"/>
    <n v="15"/>
    <x v="2"/>
    <x v="0"/>
    <n v="30"/>
    <s v="Yes"/>
    <n v="20"/>
    <x v="7"/>
    <n v="45"/>
  </r>
  <r>
    <n v="3274"/>
    <s v="Ingrid Menezes"/>
    <x v="2"/>
    <x v="42"/>
    <x v="0"/>
    <n v="10"/>
    <x v="2"/>
    <x v="1"/>
    <s v="-"/>
    <s v="Yes"/>
    <n v="20"/>
    <x v="9"/>
    <n v="18"/>
  </r>
  <r>
    <n v="3275"/>
    <s v="Jorge Baptista"/>
    <x v="1"/>
    <x v="43"/>
    <x v="1"/>
    <n v="5"/>
    <x v="0"/>
    <x v="1"/>
    <s v="-"/>
    <s v="No"/>
    <n v="0"/>
    <x v="5"/>
    <n v="3"/>
  </r>
  <r>
    <n v="3276"/>
    <s v="Kléber Oliveira"/>
    <x v="0"/>
    <x v="44"/>
    <x v="0"/>
    <n v="15"/>
    <x v="1"/>
    <x v="0"/>
    <n v="30"/>
    <s v="Yes"/>
    <n v="20"/>
    <x v="0"/>
    <n v="60"/>
  </r>
  <r>
    <n v="3277"/>
    <s v="Luciana Freitas"/>
    <x v="2"/>
    <x v="45"/>
    <x v="1"/>
    <n v="10"/>
    <x v="0"/>
    <x v="1"/>
    <s v="-"/>
    <s v="Yes"/>
    <n v="20"/>
    <x v="2"/>
    <n v="20"/>
  </r>
  <r>
    <n v="3278"/>
    <s v="Márcia Eller"/>
    <x v="1"/>
    <x v="46"/>
    <x v="0"/>
    <n v="5"/>
    <x v="2"/>
    <x v="1"/>
    <s v="-"/>
    <s v="No"/>
    <n v="0"/>
    <x v="1"/>
    <n v="5"/>
  </r>
  <r>
    <n v="3279"/>
    <s v="Nilo Peçanha"/>
    <x v="0"/>
    <x v="47"/>
    <x v="1"/>
    <n v="15"/>
    <x v="0"/>
    <x v="0"/>
    <n v="30"/>
    <s v="Yes"/>
    <n v="20"/>
    <x v="3"/>
    <n v="62"/>
  </r>
  <r>
    <n v="3280"/>
    <s v="Oscar Neves"/>
    <x v="2"/>
    <x v="48"/>
    <x v="0"/>
    <n v="10"/>
    <x v="1"/>
    <x v="1"/>
    <s v="-"/>
    <s v="Yes"/>
    <n v="20"/>
    <x v="6"/>
    <n v="15"/>
  </r>
  <r>
    <n v="3281"/>
    <s v="Patrícia Soares"/>
    <x v="1"/>
    <x v="49"/>
    <x v="1"/>
    <n v="5"/>
    <x v="0"/>
    <x v="1"/>
    <s v="-"/>
    <s v="No"/>
    <n v="0"/>
    <x v="4"/>
    <n v="4"/>
  </r>
  <r>
    <n v="3282"/>
    <s v="Quirino Gonçalves"/>
    <x v="0"/>
    <x v="50"/>
    <x v="0"/>
    <n v="15"/>
    <x v="2"/>
    <x v="0"/>
    <n v="30"/>
    <s v="Yes"/>
    <n v="20"/>
    <x v="10"/>
    <n v="58"/>
  </r>
  <r>
    <n v="3283"/>
    <s v="Raul Machado"/>
    <x v="2"/>
    <x v="51"/>
    <x v="1"/>
    <n v="10"/>
    <x v="0"/>
    <x v="1"/>
    <s v="-"/>
    <s v="Yes"/>
    <n v="20"/>
    <x v="2"/>
    <n v="20"/>
  </r>
  <r>
    <n v="3284"/>
    <s v="Sônia Lobo"/>
    <x v="1"/>
    <x v="52"/>
    <x v="0"/>
    <n v="5"/>
    <x v="1"/>
    <x v="1"/>
    <s v="-"/>
    <s v="No"/>
    <n v="0"/>
    <x v="1"/>
    <n v="5"/>
  </r>
  <r>
    <n v="3285"/>
    <s v="Tiago Ramos"/>
    <x v="0"/>
    <x v="53"/>
    <x v="1"/>
    <n v="15"/>
    <x v="0"/>
    <x v="0"/>
    <n v="30"/>
    <s v="Yes"/>
    <n v="20"/>
    <x v="7"/>
    <n v="45"/>
  </r>
  <r>
    <n v="3286"/>
    <s v="Ugo Pires"/>
    <x v="2"/>
    <x v="54"/>
    <x v="0"/>
    <n v="10"/>
    <x v="2"/>
    <x v="1"/>
    <s v="-"/>
    <s v="Yes"/>
    <n v="20"/>
    <x v="6"/>
    <n v="15"/>
  </r>
  <r>
    <n v="3287"/>
    <s v="Valéria Nobre"/>
    <x v="1"/>
    <x v="55"/>
    <x v="1"/>
    <n v="5"/>
    <x v="0"/>
    <x v="1"/>
    <s v="-"/>
    <s v="No"/>
    <n v="0"/>
    <x v="4"/>
    <n v="4"/>
  </r>
  <r>
    <n v="3288"/>
    <s v="William Siqueira"/>
    <x v="0"/>
    <x v="56"/>
    <x v="0"/>
    <n v="15"/>
    <x v="1"/>
    <x v="0"/>
    <n v="30"/>
    <s v="Yes"/>
    <n v="20"/>
    <x v="3"/>
    <n v="62"/>
  </r>
  <r>
    <n v="3289"/>
    <s v="Xuxa Meneghel"/>
    <x v="2"/>
    <x v="57"/>
    <x v="1"/>
    <n v="10"/>
    <x v="0"/>
    <x v="1"/>
    <s v="-"/>
    <s v="Yes"/>
    <n v="20"/>
    <x v="2"/>
    <n v="20"/>
  </r>
  <r>
    <n v="3290"/>
    <s v="Yara Figueiredo"/>
    <x v="1"/>
    <x v="58"/>
    <x v="0"/>
    <n v="5"/>
    <x v="2"/>
    <x v="1"/>
    <s v="-"/>
    <s v="No"/>
    <n v="0"/>
    <x v="1"/>
    <n v="5"/>
  </r>
  <r>
    <n v="3291"/>
    <s v="Zacarias Alves"/>
    <x v="0"/>
    <x v="59"/>
    <x v="1"/>
    <n v="15"/>
    <x v="0"/>
    <x v="0"/>
    <n v="30"/>
    <s v="Yes"/>
    <n v="20"/>
    <x v="0"/>
    <n v="60"/>
  </r>
  <r>
    <n v="3292"/>
    <s v="Amanda Bynes"/>
    <x v="2"/>
    <x v="60"/>
    <x v="0"/>
    <n v="10"/>
    <x v="1"/>
    <x v="1"/>
    <s v="-"/>
    <s v="Yes"/>
    <n v="20"/>
    <x v="6"/>
    <n v="15"/>
  </r>
  <r>
    <n v="3293"/>
    <s v="Bruno Mars"/>
    <x v="1"/>
    <x v="61"/>
    <x v="1"/>
    <n v="5"/>
    <x v="0"/>
    <x v="1"/>
    <s v="-"/>
    <s v="No"/>
    <n v="0"/>
    <x v="4"/>
    <n v="4"/>
  </r>
  <r>
    <n v="3294"/>
    <s v="Carla Bruni"/>
    <x v="0"/>
    <x v="62"/>
    <x v="0"/>
    <n v="15"/>
    <x v="2"/>
    <x v="0"/>
    <n v="30"/>
    <s v="Yes"/>
    <n v="20"/>
    <x v="7"/>
    <n v="45"/>
  </r>
  <r>
    <n v="3295"/>
    <s v="Diego Maradona"/>
    <x v="2"/>
    <x v="63"/>
    <x v="1"/>
    <n v="10"/>
    <x v="0"/>
    <x v="1"/>
    <s v="-"/>
    <s v="Yes"/>
    <n v="20"/>
    <x v="0"/>
    <n v="25"/>
  </r>
  <r>
    <n v="3296"/>
    <s v="Estela Marques"/>
    <x v="1"/>
    <x v="64"/>
    <x v="1"/>
    <n v="5"/>
    <x v="0"/>
    <x v="1"/>
    <s v="-"/>
    <s v="No"/>
    <n v="0"/>
    <x v="1"/>
    <n v="5"/>
  </r>
  <r>
    <n v="3297"/>
    <s v="Fábio Nobre"/>
    <x v="0"/>
    <x v="65"/>
    <x v="0"/>
    <n v="15"/>
    <x v="2"/>
    <x v="0"/>
    <n v="30"/>
    <s v="Yes"/>
    <n v="20"/>
    <x v="10"/>
    <n v="58"/>
  </r>
  <r>
    <n v="3298"/>
    <s v="Gabriel Oliveira"/>
    <x v="2"/>
    <x v="66"/>
    <x v="1"/>
    <n v="10"/>
    <x v="1"/>
    <x v="1"/>
    <s v="-"/>
    <s v="Yes"/>
    <n v="20"/>
    <x v="2"/>
    <n v="20"/>
  </r>
  <r>
    <n v="3299"/>
    <s v="Helena Santos"/>
    <x v="1"/>
    <x v="67"/>
    <x v="0"/>
    <n v="5"/>
    <x v="2"/>
    <x v="1"/>
    <s v="-"/>
    <s v="No"/>
    <n v="0"/>
    <x v="4"/>
    <n v="4"/>
  </r>
  <r>
    <n v="3300"/>
    <s v="Ivan Carvalho"/>
    <x v="0"/>
    <x v="68"/>
    <x v="1"/>
    <n v="15"/>
    <x v="0"/>
    <x v="0"/>
    <n v="30"/>
    <s v="Yes"/>
    <n v="20"/>
    <x v="6"/>
    <n v="50"/>
  </r>
  <r>
    <n v="3301"/>
    <s v="Júlia Ferreira"/>
    <x v="2"/>
    <x v="69"/>
    <x v="0"/>
    <n v="10"/>
    <x v="0"/>
    <x v="1"/>
    <s v="-"/>
    <s v="Yes"/>
    <n v="20"/>
    <x v="0"/>
    <n v="25"/>
  </r>
  <r>
    <n v="3302"/>
    <s v="Karla Alves"/>
    <x v="1"/>
    <x v="70"/>
    <x v="1"/>
    <n v="5"/>
    <x v="1"/>
    <x v="1"/>
    <s v="-"/>
    <s v="No"/>
    <n v="0"/>
    <x v="1"/>
    <n v="5"/>
  </r>
  <r>
    <n v="3303"/>
    <s v="Lucas Mendes"/>
    <x v="0"/>
    <x v="71"/>
    <x v="0"/>
    <n v="15"/>
    <x v="2"/>
    <x v="0"/>
    <n v="30"/>
    <s v="Yes"/>
    <n v="20"/>
    <x v="7"/>
    <n v="45"/>
  </r>
  <r>
    <n v="3304"/>
    <s v="Mônica Gomes"/>
    <x v="2"/>
    <x v="72"/>
    <x v="1"/>
    <n v="10"/>
    <x v="2"/>
    <x v="1"/>
    <s v="-"/>
    <s v="Yes"/>
    <n v="20"/>
    <x v="9"/>
    <n v="18"/>
  </r>
  <r>
    <n v="3305"/>
    <s v="Norberto Queiroz"/>
    <x v="1"/>
    <x v="73"/>
    <x v="0"/>
    <n v="5"/>
    <x v="0"/>
    <x v="1"/>
    <s v="-"/>
    <s v="No"/>
    <n v="0"/>
    <x v="5"/>
    <n v="3"/>
  </r>
  <r>
    <n v="3306"/>
    <s v="Otávio Barros"/>
    <x v="0"/>
    <x v="74"/>
    <x v="1"/>
    <n v="15"/>
    <x v="1"/>
    <x v="0"/>
    <n v="30"/>
    <s v="Yes"/>
    <n v="20"/>
    <x v="0"/>
    <n v="60"/>
  </r>
  <r>
    <n v="3307"/>
    <s v="Paula Vieira"/>
    <x v="2"/>
    <x v="75"/>
    <x v="0"/>
    <n v="10"/>
    <x v="0"/>
    <x v="1"/>
    <s v="-"/>
    <s v="Yes"/>
    <n v="20"/>
    <x v="2"/>
    <n v="20"/>
  </r>
  <r>
    <n v="3308"/>
    <s v="Quentin Ramos"/>
    <x v="1"/>
    <x v="76"/>
    <x v="1"/>
    <n v="5"/>
    <x v="2"/>
    <x v="1"/>
    <s v="-"/>
    <s v="No"/>
    <n v="0"/>
    <x v="1"/>
    <n v="5"/>
  </r>
  <r>
    <n v="3309"/>
    <s v="Raquel Novaes"/>
    <x v="0"/>
    <x v="77"/>
    <x v="0"/>
    <n v="15"/>
    <x v="0"/>
    <x v="0"/>
    <n v="30"/>
    <s v="Yes"/>
    <n v="20"/>
    <x v="3"/>
    <n v="62"/>
  </r>
  <r>
    <n v="3310"/>
    <s v="Samantha Lopes"/>
    <x v="2"/>
    <x v="78"/>
    <x v="1"/>
    <n v="10"/>
    <x v="1"/>
    <x v="1"/>
    <s v="-"/>
    <s v="Yes"/>
    <n v="20"/>
    <x v="6"/>
    <n v="15"/>
  </r>
  <r>
    <n v="3311"/>
    <s v="Tiago Martins"/>
    <x v="1"/>
    <x v="79"/>
    <x v="0"/>
    <n v="5"/>
    <x v="0"/>
    <x v="1"/>
    <s v="-"/>
    <s v="No"/>
    <n v="0"/>
    <x v="4"/>
    <n v="4"/>
  </r>
  <r>
    <n v="3312"/>
    <s v="Ulysses Guimarães"/>
    <x v="0"/>
    <x v="80"/>
    <x v="1"/>
    <n v="15"/>
    <x v="2"/>
    <x v="0"/>
    <n v="30"/>
    <s v="Yes"/>
    <n v="20"/>
    <x v="10"/>
    <n v="58"/>
  </r>
  <r>
    <n v="3313"/>
    <s v="Vanessa Silva"/>
    <x v="2"/>
    <x v="81"/>
    <x v="0"/>
    <n v="10"/>
    <x v="0"/>
    <x v="1"/>
    <s v="-"/>
    <s v="Yes"/>
    <n v="20"/>
    <x v="2"/>
    <n v="20"/>
  </r>
  <r>
    <n v="3314"/>
    <s v="William Carneiro"/>
    <x v="1"/>
    <x v="82"/>
    <x v="1"/>
    <n v="5"/>
    <x v="1"/>
    <x v="1"/>
    <s v="-"/>
    <s v="No"/>
    <n v="0"/>
    <x v="1"/>
    <n v="5"/>
  </r>
  <r>
    <n v="3315"/>
    <s v="Ximena Rocha"/>
    <x v="0"/>
    <x v="83"/>
    <x v="0"/>
    <n v="15"/>
    <x v="0"/>
    <x v="0"/>
    <n v="30"/>
    <s v="Yes"/>
    <n v="20"/>
    <x v="7"/>
    <n v="45"/>
  </r>
  <r>
    <n v="3316"/>
    <s v="Yasmin Figueiredo"/>
    <x v="2"/>
    <x v="84"/>
    <x v="1"/>
    <n v="10"/>
    <x v="2"/>
    <x v="1"/>
    <s v="-"/>
    <s v="Yes"/>
    <n v="20"/>
    <x v="6"/>
    <n v="15"/>
  </r>
  <r>
    <n v="3317"/>
    <s v="Zara Cunha"/>
    <x v="1"/>
    <x v="85"/>
    <x v="0"/>
    <n v="5"/>
    <x v="0"/>
    <x v="1"/>
    <s v="-"/>
    <s v="No"/>
    <n v="0"/>
    <x v="4"/>
    <n v="4"/>
  </r>
  <r>
    <n v="3318"/>
    <s v="Alan Teixeira"/>
    <x v="0"/>
    <x v="86"/>
    <x v="1"/>
    <n v="15"/>
    <x v="1"/>
    <x v="0"/>
    <n v="30"/>
    <s v="Yes"/>
    <n v="20"/>
    <x v="3"/>
    <n v="62"/>
  </r>
  <r>
    <n v="3319"/>
    <s v="Bárbara Oliveira"/>
    <x v="2"/>
    <x v="87"/>
    <x v="0"/>
    <n v="10"/>
    <x v="0"/>
    <x v="1"/>
    <s v="-"/>
    <s v="Yes"/>
    <n v="20"/>
    <x v="2"/>
    <n v="20"/>
  </r>
  <r>
    <n v="3320"/>
    <s v="Carlos Junqueira"/>
    <x v="1"/>
    <x v="88"/>
    <x v="1"/>
    <n v="5"/>
    <x v="2"/>
    <x v="1"/>
    <s v="-"/>
    <s v="No"/>
    <n v="0"/>
    <x v="1"/>
    <n v="5"/>
  </r>
  <r>
    <n v="3321"/>
    <s v="Daniela Moura"/>
    <x v="0"/>
    <x v="89"/>
    <x v="0"/>
    <n v="15"/>
    <x v="0"/>
    <x v="0"/>
    <n v="30"/>
    <s v="Yes"/>
    <n v="20"/>
    <x v="0"/>
    <n v="60"/>
  </r>
  <r>
    <n v="3322"/>
    <s v="Eduardo Lima"/>
    <x v="2"/>
    <x v="90"/>
    <x v="1"/>
    <n v="10"/>
    <x v="1"/>
    <x v="1"/>
    <s v="-"/>
    <s v="Yes"/>
    <n v="20"/>
    <x v="6"/>
    <n v="15"/>
  </r>
  <r>
    <n v="3323"/>
    <s v="Fabiana Araújo"/>
    <x v="1"/>
    <x v="91"/>
    <x v="0"/>
    <n v="5"/>
    <x v="0"/>
    <x v="1"/>
    <s v="-"/>
    <s v="No"/>
    <n v="0"/>
    <x v="4"/>
    <n v="4"/>
  </r>
  <r>
    <n v="3324"/>
    <s v="Geraldo Ribeiro"/>
    <x v="0"/>
    <x v="92"/>
    <x v="1"/>
    <n v="15"/>
    <x v="2"/>
    <x v="0"/>
    <n v="30"/>
    <s v="Yes"/>
    <n v="20"/>
    <x v="7"/>
    <n v="45"/>
  </r>
  <r>
    <n v="3325"/>
    <s v="Héctor Vargas"/>
    <x v="2"/>
    <x v="93"/>
    <x v="0"/>
    <n v="10"/>
    <x v="2"/>
    <x v="1"/>
    <s v="-"/>
    <s v="Yes"/>
    <n v="20"/>
    <x v="6"/>
    <n v="15"/>
  </r>
  <r>
    <n v="3326"/>
    <s v="Isabela Fonseca"/>
    <x v="1"/>
    <x v="94"/>
    <x v="1"/>
    <n v="5"/>
    <x v="1"/>
    <x v="1"/>
    <s v="-"/>
    <s v="No"/>
    <n v="0"/>
    <x v="1"/>
    <n v="5"/>
  </r>
  <r>
    <n v="3327"/>
    <s v="João Pedro Almeida"/>
    <x v="0"/>
    <x v="95"/>
    <x v="0"/>
    <n v="15"/>
    <x v="0"/>
    <x v="0"/>
    <n v="30"/>
    <s v="Yes"/>
    <n v="20"/>
    <x v="10"/>
    <n v="58"/>
  </r>
  <r>
    <n v="3328"/>
    <s v="Klara Costa"/>
    <x v="2"/>
    <x v="96"/>
    <x v="1"/>
    <n v="10"/>
    <x v="1"/>
    <x v="1"/>
    <s v="-"/>
    <s v="Yes"/>
    <n v="20"/>
    <x v="2"/>
    <n v="20"/>
  </r>
  <r>
    <n v="3329"/>
    <s v="Luciana Mendes"/>
    <x v="1"/>
    <x v="97"/>
    <x v="0"/>
    <n v="5"/>
    <x v="2"/>
    <x v="1"/>
    <s v="-"/>
    <s v="No"/>
    <n v="0"/>
    <x v="4"/>
    <n v="4"/>
  </r>
  <r>
    <n v="3330"/>
    <s v="Marcelo Gouveia"/>
    <x v="0"/>
    <x v="98"/>
    <x v="1"/>
    <n v="15"/>
    <x v="0"/>
    <x v="0"/>
    <n v="30"/>
    <s v="Yes"/>
    <n v="20"/>
    <x v="6"/>
    <n v="50"/>
  </r>
  <r>
    <n v="3331"/>
    <s v="Nívea Borges"/>
    <x v="2"/>
    <x v="99"/>
    <x v="0"/>
    <n v="10"/>
    <x v="0"/>
    <x v="1"/>
    <s v="-"/>
    <s v="Yes"/>
    <n v="20"/>
    <x v="0"/>
    <n v="25"/>
  </r>
  <r>
    <n v="3332"/>
    <s v="Oscar Nogueira"/>
    <x v="1"/>
    <x v="100"/>
    <x v="1"/>
    <n v="5"/>
    <x v="1"/>
    <x v="1"/>
    <s v="-"/>
    <s v="No"/>
    <n v="0"/>
    <x v="1"/>
    <n v="5"/>
  </r>
  <r>
    <n v="3333"/>
    <s v="Patrícia Alves"/>
    <x v="0"/>
    <x v="101"/>
    <x v="0"/>
    <n v="15"/>
    <x v="2"/>
    <x v="0"/>
    <n v="30"/>
    <s v="Yes"/>
    <n v="20"/>
    <x v="7"/>
    <n v="45"/>
  </r>
  <r>
    <n v="3334"/>
    <s v="Rafaela Silva"/>
    <x v="2"/>
    <x v="102"/>
    <x v="1"/>
    <n v="10"/>
    <x v="2"/>
    <x v="1"/>
    <s v="-"/>
    <s v="Yes"/>
    <n v="20"/>
    <x v="9"/>
    <n v="18"/>
  </r>
  <r>
    <n v="3335"/>
    <s v="Samantha Moraes"/>
    <x v="1"/>
    <x v="103"/>
    <x v="0"/>
    <n v="5"/>
    <x v="0"/>
    <x v="1"/>
    <s v="-"/>
    <s v="No"/>
    <n v="0"/>
    <x v="5"/>
    <n v="3"/>
  </r>
  <r>
    <n v="3336"/>
    <s v="Tatiana Rocha"/>
    <x v="1"/>
    <x v="104"/>
    <x v="0"/>
    <n v="5"/>
    <x v="0"/>
    <x v="1"/>
    <s v="-"/>
    <s v="No"/>
    <n v="0"/>
    <x v="1"/>
    <n v="5"/>
  </r>
  <r>
    <n v="3337"/>
    <s v="Ulisses Tavares"/>
    <x v="0"/>
    <x v="105"/>
    <x v="1"/>
    <n v="15"/>
    <x v="2"/>
    <x v="0"/>
    <n v="30"/>
    <s v="Yes"/>
    <n v="20"/>
    <x v="10"/>
    <n v="58"/>
  </r>
  <r>
    <n v="3338"/>
    <s v="Víctor Lemos"/>
    <x v="2"/>
    <x v="106"/>
    <x v="0"/>
    <n v="10"/>
    <x v="1"/>
    <x v="1"/>
    <s v="-"/>
    <s v="Yes"/>
    <n v="20"/>
    <x v="2"/>
    <n v="20"/>
  </r>
  <r>
    <n v="3339"/>
    <s v="Wilma Barros"/>
    <x v="1"/>
    <x v="107"/>
    <x v="1"/>
    <n v="5"/>
    <x v="2"/>
    <x v="1"/>
    <s v="-"/>
    <s v="No"/>
    <n v="0"/>
    <x v="4"/>
    <n v="4"/>
  </r>
  <r>
    <n v="3340"/>
    <s v="Xavier Nascimento"/>
    <x v="0"/>
    <x v="108"/>
    <x v="0"/>
    <n v="15"/>
    <x v="0"/>
    <x v="0"/>
    <n v="30"/>
    <s v="Yes"/>
    <n v="20"/>
    <x v="6"/>
    <n v="50"/>
  </r>
  <r>
    <n v="3341"/>
    <s v="Yago Pereira"/>
    <x v="2"/>
    <x v="109"/>
    <x v="1"/>
    <n v="10"/>
    <x v="0"/>
    <x v="1"/>
    <s v="-"/>
    <s v="Yes"/>
    <n v="20"/>
    <x v="0"/>
    <n v="25"/>
  </r>
  <r>
    <n v="3342"/>
    <s v="Zilda Ferreira"/>
    <x v="1"/>
    <x v="110"/>
    <x v="0"/>
    <n v="5"/>
    <x v="1"/>
    <x v="1"/>
    <s v="-"/>
    <s v="No"/>
    <n v="0"/>
    <x v="1"/>
    <n v="5"/>
  </r>
  <r>
    <n v="3343"/>
    <s v="Amanda Lopes"/>
    <x v="0"/>
    <x v="111"/>
    <x v="1"/>
    <n v="15"/>
    <x v="2"/>
    <x v="0"/>
    <n v="30"/>
    <s v="Yes"/>
    <n v="20"/>
    <x v="7"/>
    <n v="45"/>
  </r>
  <r>
    <n v="3344"/>
    <s v="Bruno Miranda"/>
    <x v="2"/>
    <x v="112"/>
    <x v="0"/>
    <n v="10"/>
    <x v="2"/>
    <x v="1"/>
    <s v="-"/>
    <s v="Yes"/>
    <n v="20"/>
    <x v="9"/>
    <n v="18"/>
  </r>
  <r>
    <n v="3345"/>
    <s v="Célia Torres"/>
    <x v="1"/>
    <x v="113"/>
    <x v="1"/>
    <n v="5"/>
    <x v="0"/>
    <x v="1"/>
    <s v="-"/>
    <s v="No"/>
    <n v="0"/>
    <x v="5"/>
    <n v="3"/>
  </r>
  <r>
    <n v="3346"/>
    <s v="Diogo Souza"/>
    <x v="0"/>
    <x v="114"/>
    <x v="0"/>
    <n v="15"/>
    <x v="1"/>
    <x v="0"/>
    <n v="30"/>
    <s v="Yes"/>
    <n v="20"/>
    <x v="0"/>
    <n v="60"/>
  </r>
  <r>
    <n v="3347"/>
    <s v="Elisa Castro"/>
    <x v="2"/>
    <x v="115"/>
    <x v="1"/>
    <n v="10"/>
    <x v="0"/>
    <x v="1"/>
    <s v="-"/>
    <s v="Yes"/>
    <n v="20"/>
    <x v="2"/>
    <n v="20"/>
  </r>
  <r>
    <n v="3348"/>
    <s v="Fátima Lima"/>
    <x v="1"/>
    <x v="116"/>
    <x v="0"/>
    <n v="5"/>
    <x v="2"/>
    <x v="1"/>
    <s v="-"/>
    <s v="No"/>
    <n v="0"/>
    <x v="1"/>
    <n v="5"/>
  </r>
  <r>
    <n v="3349"/>
    <s v="Geraldo Ribeiro"/>
    <x v="0"/>
    <x v="117"/>
    <x v="1"/>
    <n v="15"/>
    <x v="0"/>
    <x v="0"/>
    <n v="30"/>
    <s v="Yes"/>
    <n v="20"/>
    <x v="3"/>
    <n v="62"/>
  </r>
  <r>
    <n v="3350"/>
    <s v="Hélio Martins"/>
    <x v="2"/>
    <x v="118"/>
    <x v="0"/>
    <n v="10"/>
    <x v="1"/>
    <x v="1"/>
    <s v="-"/>
    <s v="Yes"/>
    <n v="20"/>
    <x v="6"/>
    <n v="15"/>
  </r>
  <r>
    <n v="3351"/>
    <s v="Íris Santos"/>
    <x v="1"/>
    <x v="119"/>
    <x v="1"/>
    <n v="5"/>
    <x v="0"/>
    <x v="1"/>
    <s v="-"/>
    <s v="No"/>
    <n v="0"/>
    <x v="4"/>
    <n v="4"/>
  </r>
  <r>
    <n v="3352"/>
    <s v="João Marcelo"/>
    <x v="0"/>
    <x v="120"/>
    <x v="0"/>
    <n v="15"/>
    <x v="2"/>
    <x v="0"/>
    <n v="30"/>
    <s v="Yes"/>
    <n v="20"/>
    <x v="10"/>
    <n v="58"/>
  </r>
  <r>
    <n v="3353"/>
    <s v="Larissa Gomes"/>
    <x v="2"/>
    <x v="121"/>
    <x v="1"/>
    <n v="10"/>
    <x v="0"/>
    <x v="1"/>
    <s v="-"/>
    <s v="Yes"/>
    <n v="20"/>
    <x v="2"/>
    <n v="20"/>
  </r>
  <r>
    <n v="3354"/>
    <s v="Márcio Silva"/>
    <x v="1"/>
    <x v="122"/>
    <x v="0"/>
    <n v="5"/>
    <x v="1"/>
    <x v="1"/>
    <s v="-"/>
    <s v="No"/>
    <n v="0"/>
    <x v="1"/>
    <n v="5"/>
  </r>
  <r>
    <n v="3355"/>
    <s v="Nadia Costa"/>
    <x v="0"/>
    <x v="123"/>
    <x v="1"/>
    <n v="15"/>
    <x v="0"/>
    <x v="0"/>
    <n v="30"/>
    <s v="Yes"/>
    <n v="20"/>
    <x v="7"/>
    <n v="45"/>
  </r>
  <r>
    <n v="3356"/>
    <s v="Oscar Almeida"/>
    <x v="2"/>
    <x v="124"/>
    <x v="0"/>
    <n v="10"/>
    <x v="2"/>
    <x v="1"/>
    <s v="-"/>
    <s v="Yes"/>
    <n v="20"/>
    <x v="6"/>
    <n v="15"/>
  </r>
  <r>
    <n v="3357"/>
    <s v="Patricia Soares"/>
    <x v="1"/>
    <x v="125"/>
    <x v="1"/>
    <n v="5"/>
    <x v="0"/>
    <x v="1"/>
    <s v="-"/>
    <s v="No"/>
    <n v="0"/>
    <x v="4"/>
    <n v="4"/>
  </r>
  <r>
    <n v="3358"/>
    <s v="Quênia Barros"/>
    <x v="0"/>
    <x v="126"/>
    <x v="0"/>
    <n v="15"/>
    <x v="1"/>
    <x v="0"/>
    <n v="30"/>
    <s v="Yes"/>
    <n v="20"/>
    <x v="3"/>
    <n v="62"/>
  </r>
  <r>
    <n v="3359"/>
    <s v="Rafael Torres"/>
    <x v="2"/>
    <x v="127"/>
    <x v="1"/>
    <n v="10"/>
    <x v="0"/>
    <x v="1"/>
    <s v="-"/>
    <s v="Yes"/>
    <n v="20"/>
    <x v="2"/>
    <n v="20"/>
  </r>
  <r>
    <n v="3360"/>
    <s v="Silvia Nascimento"/>
    <x v="1"/>
    <x v="128"/>
    <x v="0"/>
    <n v="5"/>
    <x v="2"/>
    <x v="1"/>
    <s v="-"/>
    <s v="No"/>
    <n v="0"/>
    <x v="1"/>
    <n v="5"/>
  </r>
  <r>
    <n v="3361"/>
    <s v="Tiago Mendes"/>
    <x v="0"/>
    <x v="129"/>
    <x v="1"/>
    <n v="15"/>
    <x v="0"/>
    <x v="0"/>
    <n v="30"/>
    <s v="Yes"/>
    <n v="20"/>
    <x v="6"/>
    <n v="50"/>
  </r>
  <r>
    <n v="3362"/>
    <s v="Ursula Silva"/>
    <x v="2"/>
    <x v="130"/>
    <x v="0"/>
    <n v="10"/>
    <x v="1"/>
    <x v="1"/>
    <s v="-"/>
    <s v="Yes"/>
    <n v="20"/>
    <x v="6"/>
    <n v="15"/>
  </r>
  <r>
    <n v="3363"/>
    <s v="Vanessa Moraes"/>
    <x v="1"/>
    <x v="131"/>
    <x v="1"/>
    <n v="5"/>
    <x v="0"/>
    <x v="1"/>
    <s v="-"/>
    <s v="No"/>
    <n v="0"/>
    <x v="4"/>
    <n v="4"/>
  </r>
  <r>
    <n v="3364"/>
    <s v="Waldir Junior"/>
    <x v="0"/>
    <x v="132"/>
    <x v="0"/>
    <n v="15"/>
    <x v="2"/>
    <x v="0"/>
    <n v="30"/>
    <s v="Yes"/>
    <n v="20"/>
    <x v="10"/>
    <n v="58"/>
  </r>
  <r>
    <n v="3365"/>
    <s v="Xavier Lopes"/>
    <x v="2"/>
    <x v="133"/>
    <x v="1"/>
    <n v="10"/>
    <x v="0"/>
    <x v="1"/>
    <s v="-"/>
    <s v="Yes"/>
    <n v="20"/>
    <x v="2"/>
    <n v="20"/>
  </r>
  <r>
    <n v="3366"/>
    <s v="Yolanda Freitas"/>
    <x v="1"/>
    <x v="134"/>
    <x v="0"/>
    <n v="5"/>
    <x v="0"/>
    <x v="1"/>
    <s v="-"/>
    <s v="No"/>
    <n v="0"/>
    <x v="1"/>
    <n v="5"/>
  </r>
  <r>
    <n v="3367"/>
    <s v="Zacarias Nunes"/>
    <x v="0"/>
    <x v="135"/>
    <x v="1"/>
    <n v="15"/>
    <x v="2"/>
    <x v="0"/>
    <n v="30"/>
    <s v="Yes"/>
    <n v="20"/>
    <x v="10"/>
    <n v="58"/>
  </r>
  <r>
    <n v="3368"/>
    <s v="Ana Clara Barreto"/>
    <x v="2"/>
    <x v="136"/>
    <x v="0"/>
    <n v="10"/>
    <x v="1"/>
    <x v="1"/>
    <s v="-"/>
    <s v="Yes"/>
    <n v="20"/>
    <x v="2"/>
    <n v="20"/>
  </r>
  <r>
    <n v="3369"/>
    <s v="Bruno Henrique"/>
    <x v="1"/>
    <x v="137"/>
    <x v="1"/>
    <n v="5"/>
    <x v="2"/>
    <x v="1"/>
    <s v="-"/>
    <s v="No"/>
    <n v="0"/>
    <x v="4"/>
    <n v="4"/>
  </r>
  <r>
    <n v="3370"/>
    <s v="Carlos Eduardo"/>
    <x v="0"/>
    <x v="138"/>
    <x v="0"/>
    <n v="15"/>
    <x v="0"/>
    <x v="0"/>
    <n v="30"/>
    <s v="Yes"/>
    <n v="20"/>
    <x v="6"/>
    <n v="50"/>
  </r>
  <r>
    <n v="3371"/>
    <s v="Débora Lima"/>
    <x v="2"/>
    <x v="139"/>
    <x v="1"/>
    <n v="10"/>
    <x v="0"/>
    <x v="1"/>
    <s v="-"/>
    <s v="Yes"/>
    <n v="20"/>
    <x v="0"/>
    <n v="25"/>
  </r>
  <r>
    <n v="3372"/>
    <s v="Elisa Neves"/>
    <x v="1"/>
    <x v="140"/>
    <x v="0"/>
    <n v="5"/>
    <x v="1"/>
    <x v="1"/>
    <s v="-"/>
    <s v="No"/>
    <n v="0"/>
    <x v="1"/>
    <n v="5"/>
  </r>
  <r>
    <n v="3373"/>
    <s v="Fabiano Gomes"/>
    <x v="0"/>
    <x v="141"/>
    <x v="1"/>
    <n v="15"/>
    <x v="2"/>
    <x v="0"/>
    <n v="30"/>
    <s v="Yes"/>
    <n v="20"/>
    <x v="7"/>
    <n v="45"/>
  </r>
  <r>
    <n v="3374"/>
    <s v="Gisele Oliveira"/>
    <x v="2"/>
    <x v="142"/>
    <x v="0"/>
    <n v="10"/>
    <x v="2"/>
    <x v="1"/>
    <s v="-"/>
    <s v="Yes"/>
    <n v="20"/>
    <x v="9"/>
    <n v="18"/>
  </r>
  <r>
    <n v="3375"/>
    <s v="Héctor Silva"/>
    <x v="1"/>
    <x v="143"/>
    <x v="1"/>
    <n v="5"/>
    <x v="0"/>
    <x v="1"/>
    <s v="-"/>
    <s v="No"/>
    <n v="0"/>
    <x v="5"/>
    <n v="3"/>
  </r>
  <r>
    <n v="3376"/>
    <s v="Igor Martins"/>
    <x v="0"/>
    <x v="144"/>
    <x v="0"/>
    <n v="15"/>
    <x v="1"/>
    <x v="0"/>
    <n v="30"/>
    <s v="Yes"/>
    <n v="20"/>
    <x v="0"/>
    <n v="60"/>
  </r>
  <r>
    <n v="3377"/>
    <s v="Joana Figueiredo"/>
    <x v="2"/>
    <x v="145"/>
    <x v="1"/>
    <n v="10"/>
    <x v="0"/>
    <x v="1"/>
    <s v="-"/>
    <s v="Yes"/>
    <n v="20"/>
    <x v="2"/>
    <n v="20"/>
  </r>
  <r>
    <n v="3378"/>
    <s v="Kleber Machado"/>
    <x v="1"/>
    <x v="146"/>
    <x v="0"/>
    <n v="5"/>
    <x v="2"/>
    <x v="1"/>
    <s v="-"/>
    <s v="No"/>
    <n v="0"/>
    <x v="1"/>
    <n v="5"/>
  </r>
  <r>
    <n v="3379"/>
    <s v="Luciana Santos"/>
    <x v="0"/>
    <x v="147"/>
    <x v="1"/>
    <n v="15"/>
    <x v="0"/>
    <x v="0"/>
    <n v="30"/>
    <s v="Yes"/>
    <n v="20"/>
    <x v="3"/>
    <n v="62"/>
  </r>
  <r>
    <n v="3380"/>
    <s v="Marcos Teixeira"/>
    <x v="2"/>
    <x v="148"/>
    <x v="0"/>
    <n v="10"/>
    <x v="1"/>
    <x v="1"/>
    <s v="-"/>
    <s v="Yes"/>
    <n v="20"/>
    <x v="6"/>
    <n v="15"/>
  </r>
  <r>
    <n v="3381"/>
    <s v="Natalia Costa"/>
    <x v="1"/>
    <x v="149"/>
    <x v="1"/>
    <n v="5"/>
    <x v="0"/>
    <x v="1"/>
    <s v="-"/>
    <s v="No"/>
    <n v="0"/>
    <x v="4"/>
    <n v="4"/>
  </r>
  <r>
    <n v="3382"/>
    <s v="Oscar Ribeiro"/>
    <x v="0"/>
    <x v="150"/>
    <x v="0"/>
    <n v="15"/>
    <x v="2"/>
    <x v="0"/>
    <n v="30"/>
    <s v="Yes"/>
    <n v="20"/>
    <x v="10"/>
    <n v="58"/>
  </r>
  <r>
    <n v="3383"/>
    <s v="Patricia Almeida"/>
    <x v="2"/>
    <x v="151"/>
    <x v="1"/>
    <n v="10"/>
    <x v="0"/>
    <x v="1"/>
    <s v="-"/>
    <s v="Yes"/>
    <n v="20"/>
    <x v="2"/>
    <n v="20"/>
  </r>
  <r>
    <n v="3384"/>
    <s v="Quirino Junior"/>
    <x v="1"/>
    <x v="152"/>
    <x v="0"/>
    <n v="5"/>
    <x v="1"/>
    <x v="1"/>
    <s v="-"/>
    <s v="No"/>
    <n v="0"/>
    <x v="1"/>
    <n v="5"/>
  </r>
  <r>
    <n v="3385"/>
    <s v="Renata Machado"/>
    <x v="0"/>
    <x v="153"/>
    <x v="1"/>
    <n v="15"/>
    <x v="0"/>
    <x v="0"/>
    <n v="30"/>
    <s v="Yes"/>
    <n v="20"/>
    <x v="7"/>
    <n v="45"/>
  </r>
  <r>
    <n v="3386"/>
    <s v="Sônia Alves"/>
    <x v="2"/>
    <x v="154"/>
    <x v="0"/>
    <n v="10"/>
    <x v="2"/>
    <x v="1"/>
    <s v="-"/>
    <s v="Yes"/>
    <n v="20"/>
    <x v="6"/>
    <n v="15"/>
  </r>
  <r>
    <n v="3387"/>
    <s v="Tiago Nunes"/>
    <x v="1"/>
    <x v="155"/>
    <x v="1"/>
    <n v="5"/>
    <x v="0"/>
    <x v="1"/>
    <s v="-"/>
    <s v="No"/>
    <n v="0"/>
    <x v="4"/>
    <n v="4"/>
  </r>
  <r>
    <n v="3388"/>
    <s v="Ulysses Pereira"/>
    <x v="0"/>
    <x v="156"/>
    <x v="0"/>
    <n v="15"/>
    <x v="1"/>
    <x v="0"/>
    <n v="30"/>
    <s v="Yes"/>
    <n v="20"/>
    <x v="3"/>
    <n v="62"/>
  </r>
  <r>
    <n v="3389"/>
    <s v="Vanessa Lima"/>
    <x v="2"/>
    <x v="157"/>
    <x v="1"/>
    <n v="10"/>
    <x v="0"/>
    <x v="1"/>
    <s v="-"/>
    <s v="Yes"/>
    <n v="20"/>
    <x v="2"/>
    <n v="20"/>
  </r>
  <r>
    <n v="3390"/>
    <s v="Wagner Santos"/>
    <x v="1"/>
    <x v="158"/>
    <x v="0"/>
    <n v="5"/>
    <x v="2"/>
    <x v="1"/>
    <s v="-"/>
    <s v="No"/>
    <n v="0"/>
    <x v="1"/>
    <n v="5"/>
  </r>
  <r>
    <n v="3391"/>
    <s v="Xuxa Meneghel"/>
    <x v="0"/>
    <x v="159"/>
    <x v="1"/>
    <n v="15"/>
    <x v="0"/>
    <x v="0"/>
    <n v="30"/>
    <s v="Yes"/>
    <n v="20"/>
    <x v="6"/>
    <n v="50"/>
  </r>
  <r>
    <n v="3392"/>
    <s v="Yasmin Silva"/>
    <x v="2"/>
    <x v="160"/>
    <x v="0"/>
    <n v="10"/>
    <x v="1"/>
    <x v="1"/>
    <s v="-"/>
    <s v="Yes"/>
    <n v="20"/>
    <x v="6"/>
    <n v="15"/>
  </r>
  <r>
    <n v="3393"/>
    <s v="Zacarias de Souza"/>
    <x v="1"/>
    <x v="161"/>
    <x v="1"/>
    <n v="5"/>
    <x v="0"/>
    <x v="1"/>
    <s v="-"/>
    <s v="No"/>
    <n v="0"/>
    <x v="4"/>
    <n v="4"/>
  </r>
  <r>
    <n v="3394"/>
    <s v="André Lima"/>
    <x v="0"/>
    <x v="162"/>
    <x v="0"/>
    <n v="15"/>
    <x v="2"/>
    <x v="0"/>
    <n v="30"/>
    <s v="Yes"/>
    <n v="20"/>
    <x v="10"/>
    <n v="58"/>
  </r>
  <r>
    <n v="3395"/>
    <s v="Bianca Freitas"/>
    <x v="2"/>
    <x v="163"/>
    <x v="1"/>
    <n v="10"/>
    <x v="0"/>
    <x v="1"/>
    <s v="-"/>
    <s v="Yes"/>
    <n v="20"/>
    <x v="2"/>
    <n v="20"/>
  </r>
  <r>
    <n v="3396"/>
    <s v="Caio Mendes"/>
    <x v="1"/>
    <x v="164"/>
    <x v="0"/>
    <n v="5"/>
    <x v="1"/>
    <x v="1"/>
    <s v="-"/>
    <s v="No"/>
    <n v="0"/>
    <x v="1"/>
    <n v="5"/>
  </r>
  <r>
    <n v="3397"/>
    <s v="Daniela Moura"/>
    <x v="0"/>
    <x v="165"/>
    <x v="1"/>
    <n v="15"/>
    <x v="0"/>
    <x v="0"/>
    <n v="30"/>
    <s v="Yes"/>
    <n v="20"/>
    <x v="7"/>
    <n v="45"/>
  </r>
  <r>
    <n v="3398"/>
    <s v="Eduardo Costa"/>
    <x v="2"/>
    <x v="166"/>
    <x v="0"/>
    <n v="10"/>
    <x v="2"/>
    <x v="1"/>
    <s v="-"/>
    <s v="Yes"/>
    <n v="20"/>
    <x v="6"/>
    <n v="15"/>
  </r>
  <r>
    <n v="3399"/>
    <s v="Fernanda Gomes"/>
    <x v="1"/>
    <x v="167"/>
    <x v="1"/>
    <n v="5"/>
    <x v="0"/>
    <x v="1"/>
    <s v="-"/>
    <s v="No"/>
    <n v="0"/>
    <x v="4"/>
    <n v="4"/>
  </r>
  <r>
    <n v="3400"/>
    <s v="Guilherme Souza"/>
    <x v="0"/>
    <x v="168"/>
    <x v="0"/>
    <n v="15"/>
    <x v="1"/>
    <x v="0"/>
    <n v="30"/>
    <s v="Yes"/>
    <n v="20"/>
    <x v="0"/>
    <n v="60"/>
  </r>
  <r>
    <n v="3401"/>
    <s v="Helena Ribeiro"/>
    <x v="2"/>
    <x v="169"/>
    <x v="1"/>
    <n v="10"/>
    <x v="0"/>
    <x v="1"/>
    <s v="-"/>
    <s v="Yes"/>
    <n v="20"/>
    <x v="2"/>
    <n v="20"/>
  </r>
  <r>
    <n v="3402"/>
    <s v="Igor Santos"/>
    <x v="1"/>
    <x v="170"/>
    <x v="0"/>
    <n v="5"/>
    <x v="2"/>
    <x v="1"/>
    <s v="-"/>
    <s v="No"/>
    <n v="0"/>
    <x v="1"/>
    <n v="5"/>
  </r>
  <r>
    <n v="3403"/>
    <s v="João Carvalho"/>
    <x v="0"/>
    <x v="171"/>
    <x v="1"/>
    <n v="15"/>
    <x v="0"/>
    <x v="0"/>
    <n v="30"/>
    <s v="Yes"/>
    <n v="20"/>
    <x v="3"/>
    <n v="62"/>
  </r>
  <r>
    <n v="3404"/>
    <s v="Klara Fagundes"/>
    <x v="2"/>
    <x v="172"/>
    <x v="0"/>
    <n v="10"/>
    <x v="1"/>
    <x v="1"/>
    <s v="-"/>
    <s v="Yes"/>
    <n v="20"/>
    <x v="6"/>
    <n v="15"/>
  </r>
  <r>
    <n v="3405"/>
    <s v="Lúcia Mendonça"/>
    <x v="1"/>
    <x v="173"/>
    <x v="1"/>
    <n v="5"/>
    <x v="0"/>
    <x v="1"/>
    <s v="-"/>
    <s v="No"/>
    <n v="0"/>
    <x v="4"/>
    <n v="4"/>
  </r>
  <r>
    <n v="3406"/>
    <s v="Marcelo Novaes"/>
    <x v="1"/>
    <x v="174"/>
    <x v="0"/>
    <n v="5"/>
    <x v="0"/>
    <x v="1"/>
    <s v="-"/>
    <s v="No"/>
    <n v="0"/>
    <x v="1"/>
    <n v="5"/>
  </r>
  <r>
    <n v="3407"/>
    <s v="Nina Pacheco"/>
    <x v="0"/>
    <x v="175"/>
    <x v="1"/>
    <n v="15"/>
    <x v="2"/>
    <x v="0"/>
    <n v="30"/>
    <s v="Yes"/>
    <n v="20"/>
    <x v="10"/>
    <n v="58"/>
  </r>
  <r>
    <n v="3408"/>
    <s v="Olívia Rios"/>
    <x v="2"/>
    <x v="176"/>
    <x v="0"/>
    <n v="10"/>
    <x v="1"/>
    <x v="1"/>
    <s v="-"/>
    <s v="Yes"/>
    <n v="20"/>
    <x v="2"/>
    <n v="20"/>
  </r>
  <r>
    <n v="3409"/>
    <s v="Paulo Quintana"/>
    <x v="1"/>
    <x v="177"/>
    <x v="1"/>
    <n v="5"/>
    <x v="2"/>
    <x v="1"/>
    <s v="-"/>
    <s v="No"/>
    <n v="0"/>
    <x v="4"/>
    <n v="4"/>
  </r>
  <r>
    <n v="3410"/>
    <s v="Raquel Domingos"/>
    <x v="0"/>
    <x v="178"/>
    <x v="0"/>
    <n v="15"/>
    <x v="0"/>
    <x v="0"/>
    <n v="30"/>
    <s v="Yes"/>
    <n v="20"/>
    <x v="6"/>
    <n v="50"/>
  </r>
  <r>
    <n v="3411"/>
    <s v="Samuel Viana"/>
    <x v="2"/>
    <x v="179"/>
    <x v="1"/>
    <n v="10"/>
    <x v="0"/>
    <x v="1"/>
    <s v="-"/>
    <s v="Yes"/>
    <n v="20"/>
    <x v="0"/>
    <n v="25"/>
  </r>
  <r>
    <n v="3412"/>
    <s v="Tatiane Rocha"/>
    <x v="1"/>
    <x v="180"/>
    <x v="0"/>
    <n v="5"/>
    <x v="1"/>
    <x v="1"/>
    <s v="-"/>
    <s v="No"/>
    <n v="0"/>
    <x v="1"/>
    <n v="5"/>
  </r>
  <r>
    <n v="3413"/>
    <s v="Ulysses Farias"/>
    <x v="0"/>
    <x v="181"/>
    <x v="1"/>
    <n v="15"/>
    <x v="2"/>
    <x v="0"/>
    <n v="30"/>
    <s v="Yes"/>
    <n v="20"/>
    <x v="7"/>
    <n v="45"/>
  </r>
  <r>
    <n v="3414"/>
    <s v="Vanessa Moreira"/>
    <x v="2"/>
    <x v="182"/>
    <x v="0"/>
    <n v="10"/>
    <x v="2"/>
    <x v="1"/>
    <s v="-"/>
    <s v="Yes"/>
    <n v="20"/>
    <x v="9"/>
    <n v="18"/>
  </r>
  <r>
    <n v="3415"/>
    <s v="William Carvalho"/>
    <x v="1"/>
    <x v="183"/>
    <x v="1"/>
    <n v="5"/>
    <x v="0"/>
    <x v="1"/>
    <s v="-"/>
    <s v="No"/>
    <n v="0"/>
    <x v="5"/>
    <n v="3"/>
  </r>
  <r>
    <n v="3416"/>
    <s v="Ximena Barros"/>
    <x v="0"/>
    <x v="184"/>
    <x v="0"/>
    <n v="15"/>
    <x v="1"/>
    <x v="0"/>
    <n v="30"/>
    <s v="Yes"/>
    <n v="20"/>
    <x v="0"/>
    <n v="60"/>
  </r>
  <r>
    <n v="3417"/>
    <s v="Yara Machado"/>
    <x v="2"/>
    <x v="185"/>
    <x v="1"/>
    <n v="10"/>
    <x v="0"/>
    <x v="1"/>
    <s v="-"/>
    <s v="Yes"/>
    <n v="20"/>
    <x v="2"/>
    <n v="20"/>
  </r>
  <r>
    <n v="3418"/>
    <s v="Zacarias Costa"/>
    <x v="1"/>
    <x v="186"/>
    <x v="0"/>
    <n v="5"/>
    <x v="2"/>
    <x v="1"/>
    <s v="-"/>
    <s v="No"/>
    <n v="0"/>
    <x v="1"/>
    <n v="5"/>
  </r>
  <r>
    <n v="3419"/>
    <s v="André Lopes"/>
    <x v="0"/>
    <x v="187"/>
    <x v="1"/>
    <n v="15"/>
    <x v="0"/>
    <x v="0"/>
    <n v="30"/>
    <s v="Yes"/>
    <n v="20"/>
    <x v="3"/>
    <n v="62"/>
  </r>
  <r>
    <n v="3420"/>
    <s v="Beatriz Souza"/>
    <x v="2"/>
    <x v="188"/>
    <x v="0"/>
    <n v="10"/>
    <x v="1"/>
    <x v="1"/>
    <s v="-"/>
    <s v="Yes"/>
    <n v="20"/>
    <x v="6"/>
    <n v="15"/>
  </r>
  <r>
    <n v="3421"/>
    <s v="Caio Pereira"/>
    <x v="1"/>
    <x v="189"/>
    <x v="1"/>
    <n v="5"/>
    <x v="0"/>
    <x v="1"/>
    <s v="-"/>
    <s v="No"/>
    <n v="0"/>
    <x v="4"/>
    <n v="4"/>
  </r>
  <r>
    <n v="3422"/>
    <s v="Daniela Araújo"/>
    <x v="0"/>
    <x v="190"/>
    <x v="0"/>
    <n v="15"/>
    <x v="2"/>
    <x v="0"/>
    <n v="30"/>
    <s v="Yes"/>
    <n v="20"/>
    <x v="10"/>
    <n v="58"/>
  </r>
  <r>
    <n v="3423"/>
    <s v="Eduardo Santos"/>
    <x v="2"/>
    <x v="191"/>
    <x v="1"/>
    <n v="10"/>
    <x v="0"/>
    <x v="1"/>
    <s v="-"/>
    <s v="Yes"/>
    <n v="20"/>
    <x v="2"/>
    <n v="20"/>
  </r>
  <r>
    <n v="3424"/>
    <s v="Fernanda Lima"/>
    <x v="1"/>
    <x v="192"/>
    <x v="0"/>
    <n v="5"/>
    <x v="1"/>
    <x v="1"/>
    <s v="-"/>
    <s v="No"/>
    <n v="0"/>
    <x v="1"/>
    <n v="5"/>
  </r>
  <r>
    <n v="3425"/>
    <s v="Gabriel Teixeira"/>
    <x v="0"/>
    <x v="193"/>
    <x v="1"/>
    <n v="15"/>
    <x v="0"/>
    <x v="0"/>
    <n v="30"/>
    <s v="Yes"/>
    <n v="20"/>
    <x v="7"/>
    <n v="45"/>
  </r>
  <r>
    <n v="3426"/>
    <s v="Helena Ribeiro"/>
    <x v="2"/>
    <x v="194"/>
    <x v="0"/>
    <n v="10"/>
    <x v="2"/>
    <x v="1"/>
    <s v="-"/>
    <s v="Yes"/>
    <n v="20"/>
    <x v="6"/>
    <n v="15"/>
  </r>
  <r>
    <n v="3427"/>
    <s v="Igor Mendes"/>
    <x v="1"/>
    <x v="195"/>
    <x v="1"/>
    <n v="5"/>
    <x v="0"/>
    <x v="1"/>
    <s v="-"/>
    <s v="No"/>
    <n v="0"/>
    <x v="4"/>
    <n v="4"/>
  </r>
  <r>
    <n v="3428"/>
    <s v="Joana Silveira"/>
    <x v="0"/>
    <x v="196"/>
    <x v="0"/>
    <n v="15"/>
    <x v="1"/>
    <x v="0"/>
    <n v="30"/>
    <s v="Yes"/>
    <n v="20"/>
    <x v="3"/>
    <n v="62"/>
  </r>
  <r>
    <n v="3429"/>
    <s v="Lucas Martins"/>
    <x v="2"/>
    <x v="197"/>
    <x v="1"/>
    <n v="10"/>
    <x v="0"/>
    <x v="1"/>
    <s v="-"/>
    <s v="Yes"/>
    <n v="20"/>
    <x v="2"/>
    <n v="20"/>
  </r>
  <r>
    <n v="3430"/>
    <s v="Marcela Gouveia"/>
    <x v="1"/>
    <x v="198"/>
    <x v="0"/>
    <n v="5"/>
    <x v="2"/>
    <x v="1"/>
    <s v="-"/>
    <s v="No"/>
    <n v="0"/>
    <x v="1"/>
    <n v="5"/>
  </r>
  <r>
    <n v="3431"/>
    <s v="Nicolas Borges"/>
    <x v="0"/>
    <x v="199"/>
    <x v="1"/>
    <n v="15"/>
    <x v="0"/>
    <x v="0"/>
    <n v="30"/>
    <s v="Yes"/>
    <n v="20"/>
    <x v="6"/>
    <n v="50"/>
  </r>
  <r>
    <n v="3432"/>
    <s v="Olivia Freitas"/>
    <x v="2"/>
    <x v="200"/>
    <x v="0"/>
    <n v="10"/>
    <x v="1"/>
    <x v="1"/>
    <s v="-"/>
    <s v="Yes"/>
    <n v="20"/>
    <x v="6"/>
    <n v="15"/>
  </r>
  <r>
    <n v="3433"/>
    <s v="Paulo Nogueira"/>
    <x v="1"/>
    <x v="201"/>
    <x v="1"/>
    <n v="5"/>
    <x v="0"/>
    <x v="1"/>
    <s v="-"/>
    <s v="No"/>
    <n v="0"/>
    <x v="4"/>
    <n v="4"/>
  </r>
  <r>
    <n v="3434"/>
    <s v="Raquel Andrade"/>
    <x v="0"/>
    <x v="202"/>
    <x v="0"/>
    <n v="15"/>
    <x v="2"/>
    <x v="0"/>
    <n v="30"/>
    <s v="Yes"/>
    <n v="20"/>
    <x v="10"/>
    <n v="58"/>
  </r>
  <r>
    <n v="3435"/>
    <s v="Sônia Carvalho"/>
    <x v="2"/>
    <x v="203"/>
    <x v="1"/>
    <n v="10"/>
    <x v="0"/>
    <x v="1"/>
    <s v="-"/>
    <s v="Yes"/>
    <n v="20"/>
    <x v="2"/>
    <n v="20"/>
  </r>
  <r>
    <n v="3436"/>
    <s v="Tiago Rodrigues"/>
    <x v="1"/>
    <x v="204"/>
    <x v="0"/>
    <n v="5"/>
    <x v="0"/>
    <x v="1"/>
    <s v="-"/>
    <s v="No"/>
    <n v="0"/>
    <x v="1"/>
    <n v="5"/>
  </r>
  <r>
    <n v="3437"/>
    <s v="Ursula Monteiro"/>
    <x v="0"/>
    <x v="205"/>
    <x v="1"/>
    <n v="15"/>
    <x v="2"/>
    <x v="0"/>
    <n v="30"/>
    <s v="Yes"/>
    <n v="20"/>
    <x v="10"/>
    <n v="58"/>
  </r>
  <r>
    <n v="3438"/>
    <s v="Vanessa Pereira"/>
    <x v="2"/>
    <x v="206"/>
    <x v="0"/>
    <n v="10"/>
    <x v="1"/>
    <x v="1"/>
    <s v="-"/>
    <s v="Yes"/>
    <n v="20"/>
    <x v="2"/>
    <n v="20"/>
  </r>
  <r>
    <n v="3439"/>
    <s v="Walter Silva"/>
    <x v="1"/>
    <x v="207"/>
    <x v="1"/>
    <n v="5"/>
    <x v="2"/>
    <x v="1"/>
    <s v="-"/>
    <s v="No"/>
    <n v="0"/>
    <x v="4"/>
    <n v="4"/>
  </r>
  <r>
    <n v="3440"/>
    <s v="Xavier Almeida"/>
    <x v="0"/>
    <x v="208"/>
    <x v="0"/>
    <n v="15"/>
    <x v="0"/>
    <x v="0"/>
    <n v="30"/>
    <s v="Yes"/>
    <n v="20"/>
    <x v="6"/>
    <n v="50"/>
  </r>
  <r>
    <n v="3441"/>
    <s v="Yasmine Correia"/>
    <x v="2"/>
    <x v="209"/>
    <x v="1"/>
    <n v="10"/>
    <x v="0"/>
    <x v="1"/>
    <s v="-"/>
    <s v="Yes"/>
    <n v="20"/>
    <x v="0"/>
    <n v="25"/>
  </r>
  <r>
    <n v="3442"/>
    <s v="Zacarias Almeida"/>
    <x v="1"/>
    <x v="210"/>
    <x v="0"/>
    <n v="5"/>
    <x v="1"/>
    <x v="1"/>
    <s v="-"/>
    <s v="No"/>
    <n v="0"/>
    <x v="1"/>
    <n v="5"/>
  </r>
  <r>
    <n v="3443"/>
    <s v="Amanda Costa"/>
    <x v="0"/>
    <x v="211"/>
    <x v="1"/>
    <n v="15"/>
    <x v="2"/>
    <x v="0"/>
    <n v="30"/>
    <s v="Yes"/>
    <n v="20"/>
    <x v="7"/>
    <n v="45"/>
  </r>
  <r>
    <n v="3444"/>
    <s v="Bruno Ferreira"/>
    <x v="2"/>
    <x v="212"/>
    <x v="0"/>
    <n v="10"/>
    <x v="2"/>
    <x v="1"/>
    <s v="-"/>
    <s v="Yes"/>
    <n v="20"/>
    <x v="9"/>
    <n v="18"/>
  </r>
  <r>
    <n v="3445"/>
    <s v="Carla Dias"/>
    <x v="1"/>
    <x v="213"/>
    <x v="1"/>
    <n v="5"/>
    <x v="0"/>
    <x v="1"/>
    <s v="-"/>
    <s v="No"/>
    <n v="0"/>
    <x v="5"/>
    <n v="3"/>
  </r>
  <r>
    <n v="3446"/>
    <s v="Diogo Martins"/>
    <x v="0"/>
    <x v="214"/>
    <x v="0"/>
    <n v="15"/>
    <x v="1"/>
    <x v="0"/>
    <n v="30"/>
    <s v="Yes"/>
    <n v="20"/>
    <x v="0"/>
    <n v="60"/>
  </r>
  <r>
    <n v="3447"/>
    <s v="Elisa Campos"/>
    <x v="2"/>
    <x v="215"/>
    <x v="1"/>
    <n v="10"/>
    <x v="0"/>
    <x v="1"/>
    <s v="-"/>
    <s v="Yes"/>
    <n v="20"/>
    <x v="2"/>
    <n v="20"/>
  </r>
  <r>
    <n v="3448"/>
    <s v="Fabiana Lima"/>
    <x v="1"/>
    <x v="216"/>
    <x v="0"/>
    <n v="5"/>
    <x v="2"/>
    <x v="1"/>
    <s v="-"/>
    <s v="No"/>
    <n v="0"/>
    <x v="1"/>
    <n v="5"/>
  </r>
  <r>
    <n v="3449"/>
    <s v="Gabriel Santos"/>
    <x v="0"/>
    <x v="217"/>
    <x v="1"/>
    <n v="15"/>
    <x v="0"/>
    <x v="0"/>
    <n v="30"/>
    <s v="Yes"/>
    <n v="20"/>
    <x v="3"/>
    <n v="62"/>
  </r>
  <r>
    <n v="3450"/>
    <s v="Helena Ferreira"/>
    <x v="2"/>
    <x v="218"/>
    <x v="0"/>
    <n v="10"/>
    <x v="1"/>
    <x v="1"/>
    <s v="-"/>
    <s v="Yes"/>
    <n v="20"/>
    <x v="6"/>
    <n v="15"/>
  </r>
  <r>
    <n v="3451"/>
    <s v="Ígor Nunes"/>
    <x v="1"/>
    <x v="219"/>
    <x v="1"/>
    <n v="5"/>
    <x v="0"/>
    <x v="1"/>
    <s v="-"/>
    <s v="No"/>
    <n v="0"/>
    <x v="4"/>
    <n v="4"/>
  </r>
  <r>
    <n v="3452"/>
    <s v="Joana Silveira"/>
    <x v="0"/>
    <x v="220"/>
    <x v="0"/>
    <n v="15"/>
    <x v="2"/>
    <x v="0"/>
    <n v="30"/>
    <s v="Yes"/>
    <n v="20"/>
    <x v="10"/>
    <n v="58"/>
  </r>
  <r>
    <n v="3453"/>
    <s v="Kléber Oliveira"/>
    <x v="2"/>
    <x v="221"/>
    <x v="1"/>
    <n v="10"/>
    <x v="0"/>
    <x v="1"/>
    <s v="-"/>
    <s v="Yes"/>
    <n v="20"/>
    <x v="2"/>
    <n v="20"/>
  </r>
  <r>
    <n v="3454"/>
    <s v="Luciana Morais"/>
    <x v="1"/>
    <x v="222"/>
    <x v="0"/>
    <n v="5"/>
    <x v="1"/>
    <x v="1"/>
    <s v="-"/>
    <s v="No"/>
    <n v="0"/>
    <x v="1"/>
    <n v="5"/>
  </r>
  <r>
    <n v="3455"/>
    <s v="Marcos Vinícius"/>
    <x v="0"/>
    <x v="223"/>
    <x v="1"/>
    <n v="15"/>
    <x v="0"/>
    <x v="0"/>
    <n v="30"/>
    <s v="Yes"/>
    <n v="20"/>
    <x v="7"/>
    <n v="45"/>
  </r>
  <r>
    <n v="3456"/>
    <s v="Natália Barros"/>
    <x v="2"/>
    <x v="224"/>
    <x v="0"/>
    <n v="10"/>
    <x v="2"/>
    <x v="1"/>
    <s v="-"/>
    <s v="Yes"/>
    <n v="20"/>
    <x v="6"/>
    <n v="15"/>
  </r>
  <r>
    <n v="3457"/>
    <s v="Oscar Sampaio"/>
    <x v="1"/>
    <x v="225"/>
    <x v="1"/>
    <n v="5"/>
    <x v="0"/>
    <x v="1"/>
    <s v="-"/>
    <s v="No"/>
    <n v="0"/>
    <x v="4"/>
    <n v="4"/>
  </r>
  <r>
    <n v="3458"/>
    <s v="Patrícia Leite"/>
    <x v="0"/>
    <x v="226"/>
    <x v="0"/>
    <n v="15"/>
    <x v="1"/>
    <x v="0"/>
    <n v="30"/>
    <s v="Yes"/>
    <n v="20"/>
    <x v="3"/>
    <n v="62"/>
  </r>
  <r>
    <n v="3459"/>
    <s v="Quênia Rocha"/>
    <x v="2"/>
    <x v="227"/>
    <x v="1"/>
    <n v="10"/>
    <x v="0"/>
    <x v="1"/>
    <s v="-"/>
    <s v="Yes"/>
    <n v="20"/>
    <x v="2"/>
    <n v="20"/>
  </r>
  <r>
    <n v="3460"/>
    <s v="Rafael Torres"/>
    <x v="1"/>
    <x v="228"/>
    <x v="0"/>
    <n v="5"/>
    <x v="2"/>
    <x v="1"/>
    <s v="-"/>
    <s v="No"/>
    <n v="0"/>
    <x v="1"/>
    <n v="5"/>
  </r>
  <r>
    <n v="3461"/>
    <s v="Sandra Gouveia"/>
    <x v="0"/>
    <x v="229"/>
    <x v="1"/>
    <n v="15"/>
    <x v="0"/>
    <x v="0"/>
    <n v="30"/>
    <s v="Yes"/>
    <n v="20"/>
    <x v="6"/>
    <n v="50"/>
  </r>
  <r>
    <n v="3462"/>
    <s v="Tiago Lacerda"/>
    <x v="2"/>
    <x v="230"/>
    <x v="0"/>
    <n v="10"/>
    <x v="1"/>
    <x v="1"/>
    <s v="-"/>
    <s v="Yes"/>
    <n v="20"/>
    <x v="6"/>
    <n v="15"/>
  </r>
  <r>
    <n v="3463"/>
    <s v="Ursula Fonseca"/>
    <x v="1"/>
    <x v="231"/>
    <x v="1"/>
    <n v="5"/>
    <x v="0"/>
    <x v="1"/>
    <s v="-"/>
    <s v="No"/>
    <n v="0"/>
    <x v="4"/>
    <n v="4"/>
  </r>
  <r>
    <n v="3464"/>
    <s v="Vanessa Andrade"/>
    <x v="0"/>
    <x v="232"/>
    <x v="0"/>
    <n v="15"/>
    <x v="2"/>
    <x v="0"/>
    <n v="30"/>
    <s v="Yes"/>
    <n v="20"/>
    <x v="10"/>
    <n v="58"/>
  </r>
  <r>
    <n v="3465"/>
    <s v="William Castro"/>
    <x v="2"/>
    <x v="233"/>
    <x v="1"/>
    <n v="10"/>
    <x v="0"/>
    <x v="1"/>
    <s v="-"/>
    <s v="Yes"/>
    <n v="20"/>
    <x v="2"/>
    <n v="20"/>
  </r>
  <r>
    <n v="3466"/>
    <s v="Xavier Monteiro"/>
    <x v="1"/>
    <x v="234"/>
    <x v="0"/>
    <n v="5"/>
    <x v="1"/>
    <x v="1"/>
    <s v="-"/>
    <s v="No"/>
    <n v="0"/>
    <x v="1"/>
    <n v="5"/>
  </r>
  <r>
    <n v="3467"/>
    <s v="Yasmin Figueira"/>
    <x v="0"/>
    <x v="235"/>
    <x v="1"/>
    <n v="15"/>
    <x v="0"/>
    <x v="0"/>
    <n v="30"/>
    <s v="Yes"/>
    <n v="20"/>
    <x v="6"/>
    <n v="50"/>
  </r>
  <r>
    <n v="3468"/>
    <s v="Zacarias Mendonça"/>
    <x v="2"/>
    <x v="236"/>
    <x v="0"/>
    <n v="10"/>
    <x v="2"/>
    <x v="1"/>
    <s v="-"/>
    <s v="Yes"/>
    <n v="20"/>
    <x v="9"/>
    <n v="18"/>
  </r>
  <r>
    <n v="3469"/>
    <s v="Amanda Menezes"/>
    <x v="1"/>
    <x v="237"/>
    <x v="1"/>
    <n v="5"/>
    <x v="0"/>
    <x v="1"/>
    <s v="-"/>
    <s v="No"/>
    <n v="0"/>
    <x v="5"/>
    <n v="3"/>
  </r>
  <r>
    <n v="3470"/>
    <s v="Bruno Santos"/>
    <x v="0"/>
    <x v="238"/>
    <x v="0"/>
    <n v="15"/>
    <x v="1"/>
    <x v="0"/>
    <n v="30"/>
    <s v="Yes"/>
    <n v="20"/>
    <x v="0"/>
    <n v="60"/>
  </r>
  <r>
    <n v="3471"/>
    <s v="Carla Ferreira"/>
    <x v="2"/>
    <x v="239"/>
    <x v="1"/>
    <n v="10"/>
    <x v="0"/>
    <x v="1"/>
    <s v="-"/>
    <s v="Yes"/>
    <n v="20"/>
    <x v="2"/>
    <n v="20"/>
  </r>
  <r>
    <n v="3472"/>
    <s v="Diogo Alves"/>
    <x v="1"/>
    <x v="240"/>
    <x v="0"/>
    <n v="5"/>
    <x v="2"/>
    <x v="1"/>
    <s v="-"/>
    <s v="No"/>
    <n v="0"/>
    <x v="1"/>
    <n v="5"/>
  </r>
  <r>
    <n v="3473"/>
    <s v="Elisa Neves"/>
    <x v="0"/>
    <x v="241"/>
    <x v="1"/>
    <n v="15"/>
    <x v="0"/>
    <x v="0"/>
    <n v="30"/>
    <s v="Yes"/>
    <n v="20"/>
    <x v="3"/>
    <n v="62"/>
  </r>
  <r>
    <n v="3474"/>
    <s v="Fabiano Pires"/>
    <x v="2"/>
    <x v="242"/>
    <x v="0"/>
    <n v="10"/>
    <x v="1"/>
    <x v="1"/>
    <s v="-"/>
    <s v="Yes"/>
    <n v="20"/>
    <x v="6"/>
    <n v="15"/>
  </r>
  <r>
    <n v="3475"/>
    <s v="Giovana Ribeiro"/>
    <x v="1"/>
    <x v="243"/>
    <x v="1"/>
    <n v="5"/>
    <x v="0"/>
    <x v="1"/>
    <s v="-"/>
    <s v="No"/>
    <n v="0"/>
    <x v="4"/>
    <n v="4"/>
  </r>
  <r>
    <n v="3476"/>
    <s v="Hélio Costa"/>
    <x v="0"/>
    <x v="244"/>
    <x v="0"/>
    <n v="15"/>
    <x v="2"/>
    <x v="0"/>
    <n v="30"/>
    <s v="Yes"/>
    <n v="20"/>
    <x v="10"/>
    <n v="58"/>
  </r>
  <r>
    <n v="3477"/>
    <s v="Íris Loureiro"/>
    <x v="2"/>
    <x v="245"/>
    <x v="1"/>
    <n v="10"/>
    <x v="0"/>
    <x v="1"/>
    <s v="-"/>
    <s v="Yes"/>
    <n v="20"/>
    <x v="2"/>
    <n v="20"/>
  </r>
  <r>
    <n v="3478"/>
    <s v="João Pereira"/>
    <x v="1"/>
    <x v="246"/>
    <x v="0"/>
    <n v="5"/>
    <x v="1"/>
    <x v="1"/>
    <s v="-"/>
    <s v="No"/>
    <n v="0"/>
    <x v="1"/>
    <n v="5"/>
  </r>
  <r>
    <n v="3479"/>
    <s v="Klara Silva"/>
    <x v="0"/>
    <x v="247"/>
    <x v="1"/>
    <n v="15"/>
    <x v="0"/>
    <x v="0"/>
    <n v="30"/>
    <s v="Yes"/>
    <n v="20"/>
    <x v="7"/>
    <n v="45"/>
  </r>
  <r>
    <n v="3480"/>
    <s v="Luciana Barros"/>
    <x v="2"/>
    <x v="248"/>
    <x v="0"/>
    <n v="10"/>
    <x v="2"/>
    <x v="1"/>
    <s v="-"/>
    <s v="Yes"/>
    <n v="20"/>
    <x v="6"/>
    <n v="15"/>
  </r>
  <r>
    <n v="3481"/>
    <s v="Marcos Gomes"/>
    <x v="1"/>
    <x v="249"/>
    <x v="1"/>
    <n v="5"/>
    <x v="0"/>
    <x v="1"/>
    <s v="-"/>
    <s v="No"/>
    <n v="0"/>
    <x v="4"/>
    <n v="4"/>
  </r>
  <r>
    <n v="3482"/>
    <s v="Natália Soares"/>
    <x v="0"/>
    <x v="250"/>
    <x v="0"/>
    <n v="15"/>
    <x v="1"/>
    <x v="0"/>
    <n v="30"/>
    <s v="Yes"/>
    <n v="20"/>
    <x v="3"/>
    <n v="62"/>
  </r>
  <r>
    <n v="3483"/>
    <s v="Oscar Machado"/>
    <x v="2"/>
    <x v="251"/>
    <x v="1"/>
    <n v="10"/>
    <x v="0"/>
    <x v="1"/>
    <s v="-"/>
    <s v="Yes"/>
    <n v="20"/>
    <x v="2"/>
    <n v="20"/>
  </r>
  <r>
    <n v="3484"/>
    <s v="Patrícia Lima"/>
    <x v="1"/>
    <x v="252"/>
    <x v="0"/>
    <n v="5"/>
    <x v="2"/>
    <x v="1"/>
    <s v="-"/>
    <s v="No"/>
    <n v="0"/>
    <x v="1"/>
    <n v="5"/>
  </r>
  <r>
    <n v="3485"/>
    <s v="Quirino Neto"/>
    <x v="0"/>
    <x v="253"/>
    <x v="1"/>
    <n v="15"/>
    <x v="0"/>
    <x v="0"/>
    <n v="30"/>
    <s v="Yes"/>
    <n v="20"/>
    <x v="6"/>
    <n v="50"/>
  </r>
  <r>
    <n v="3486"/>
    <s v="Rafaela Souza"/>
    <x v="1"/>
    <x v="254"/>
    <x v="0"/>
    <n v="5"/>
    <x v="0"/>
    <x v="1"/>
    <s v="-"/>
    <s v="No"/>
    <n v="0"/>
    <x v="1"/>
    <n v="5"/>
  </r>
  <r>
    <n v="3487"/>
    <s v="Sandro Almeida"/>
    <x v="0"/>
    <x v="255"/>
    <x v="1"/>
    <n v="15"/>
    <x v="2"/>
    <x v="0"/>
    <n v="30"/>
    <s v="Yes"/>
    <n v="20"/>
    <x v="10"/>
    <n v="58"/>
  </r>
  <r>
    <n v="3488"/>
    <s v="Tânia Ribeiro"/>
    <x v="2"/>
    <x v="256"/>
    <x v="0"/>
    <n v="10"/>
    <x v="1"/>
    <x v="1"/>
    <s v="-"/>
    <s v="Yes"/>
    <n v="20"/>
    <x v="2"/>
    <n v="20"/>
  </r>
  <r>
    <n v="3489"/>
    <s v="Ugo Dias"/>
    <x v="1"/>
    <x v="257"/>
    <x v="1"/>
    <n v="5"/>
    <x v="2"/>
    <x v="1"/>
    <s v="-"/>
    <s v="No"/>
    <n v="0"/>
    <x v="4"/>
    <n v="4"/>
  </r>
  <r>
    <n v="3490"/>
    <s v="Valéria Lima"/>
    <x v="0"/>
    <x v="258"/>
    <x v="0"/>
    <n v="15"/>
    <x v="0"/>
    <x v="0"/>
    <n v="30"/>
    <s v="Yes"/>
    <n v="20"/>
    <x v="6"/>
    <n v="50"/>
  </r>
  <r>
    <n v="3491"/>
    <s v="William Fernandes"/>
    <x v="2"/>
    <x v="259"/>
    <x v="1"/>
    <n v="10"/>
    <x v="0"/>
    <x v="1"/>
    <s v="-"/>
    <s v="Yes"/>
    <n v="20"/>
    <x v="0"/>
    <n v="25"/>
  </r>
  <r>
    <n v="3492"/>
    <s v="Xuxa Mendes"/>
    <x v="1"/>
    <x v="260"/>
    <x v="0"/>
    <n v="5"/>
    <x v="1"/>
    <x v="1"/>
    <s v="-"/>
    <s v="No"/>
    <n v="0"/>
    <x v="1"/>
    <n v="5"/>
  </r>
  <r>
    <n v="3493"/>
    <s v="Ygor Farias"/>
    <x v="0"/>
    <x v="261"/>
    <x v="1"/>
    <n v="15"/>
    <x v="2"/>
    <x v="0"/>
    <n v="30"/>
    <s v="Yes"/>
    <n v="20"/>
    <x v="7"/>
    <n v="45"/>
  </r>
  <r>
    <n v="3494"/>
    <s v="Zilda Barros"/>
    <x v="2"/>
    <x v="262"/>
    <x v="0"/>
    <n v="10"/>
    <x v="2"/>
    <x v="1"/>
    <s v="-"/>
    <s v="Yes"/>
    <n v="20"/>
    <x v="9"/>
    <n v="18"/>
  </r>
  <r>
    <n v="3495"/>
    <s v="Amanda Santos"/>
    <x v="1"/>
    <x v="263"/>
    <x v="1"/>
    <n v="5"/>
    <x v="0"/>
    <x v="1"/>
    <s v="-"/>
    <s v="No"/>
    <n v="0"/>
    <x v="5"/>
    <n v="3"/>
  </r>
  <r>
    <n v="3496"/>
    <s v="Bruno Costa"/>
    <x v="0"/>
    <x v="264"/>
    <x v="0"/>
    <n v="15"/>
    <x v="1"/>
    <x v="0"/>
    <n v="30"/>
    <s v="Yes"/>
    <n v="20"/>
    <x v="0"/>
    <n v="60"/>
  </r>
  <r>
    <n v="3497"/>
    <s v="Carla Rodrigues"/>
    <x v="2"/>
    <x v="265"/>
    <x v="1"/>
    <n v="10"/>
    <x v="0"/>
    <x v="1"/>
    <s v="-"/>
    <s v="Yes"/>
    <n v="20"/>
    <x v="2"/>
    <n v="20"/>
  </r>
  <r>
    <n v="3498"/>
    <s v="Diogo Pereira"/>
    <x v="1"/>
    <x v="266"/>
    <x v="0"/>
    <n v="5"/>
    <x v="2"/>
    <x v="1"/>
    <s v="-"/>
    <s v="No"/>
    <n v="0"/>
    <x v="1"/>
    <n v="5"/>
  </r>
  <r>
    <n v="3499"/>
    <s v="Elisa Correia"/>
    <x v="0"/>
    <x v="267"/>
    <x v="1"/>
    <n v="15"/>
    <x v="0"/>
    <x v="0"/>
    <n v="30"/>
    <s v="Yes"/>
    <n v="20"/>
    <x v="3"/>
    <n v="62"/>
  </r>
  <r>
    <n v="3500"/>
    <s v="Fábio Lourenço"/>
    <x v="2"/>
    <x v="268"/>
    <x v="0"/>
    <n v="10"/>
    <x v="1"/>
    <x v="1"/>
    <s v="-"/>
    <s v="Yes"/>
    <n v="20"/>
    <x v="6"/>
    <n v="15"/>
  </r>
  <r>
    <n v="3501"/>
    <s v="Gabriela Neves"/>
    <x v="1"/>
    <x v="269"/>
    <x v="1"/>
    <n v="5"/>
    <x v="0"/>
    <x v="1"/>
    <s v="-"/>
    <s v="No"/>
    <n v="0"/>
    <x v="4"/>
    <n v="4"/>
  </r>
  <r>
    <n v="3502"/>
    <s v="Henrique Gonçalves"/>
    <x v="0"/>
    <x v="270"/>
    <x v="0"/>
    <n v="15"/>
    <x v="2"/>
    <x v="0"/>
    <n v="30"/>
    <s v="Yes"/>
    <n v="20"/>
    <x v="10"/>
    <n v="58"/>
  </r>
  <r>
    <n v="3503"/>
    <s v="Íris Santos"/>
    <x v="2"/>
    <x v="271"/>
    <x v="1"/>
    <n v="10"/>
    <x v="0"/>
    <x v="1"/>
    <s v="-"/>
    <s v="Yes"/>
    <n v="20"/>
    <x v="2"/>
    <n v="20"/>
  </r>
  <r>
    <n v="3504"/>
    <s v="João Marcelo Alves"/>
    <x v="1"/>
    <x v="272"/>
    <x v="0"/>
    <n v="5"/>
    <x v="1"/>
    <x v="1"/>
    <s v="-"/>
    <s v="No"/>
    <n v="0"/>
    <x v="1"/>
    <n v="5"/>
  </r>
  <r>
    <n v="3505"/>
    <s v="Klara Fonseca"/>
    <x v="0"/>
    <x v="273"/>
    <x v="1"/>
    <n v="15"/>
    <x v="0"/>
    <x v="0"/>
    <n v="30"/>
    <s v="Yes"/>
    <n v="20"/>
    <x v="7"/>
    <n v="45"/>
  </r>
  <r>
    <n v="3506"/>
    <s v="Lucas Mendonça"/>
    <x v="2"/>
    <x v="274"/>
    <x v="0"/>
    <n v="10"/>
    <x v="2"/>
    <x v="1"/>
    <s v="-"/>
    <s v="Yes"/>
    <n v="20"/>
    <x v="6"/>
    <n v="15"/>
  </r>
  <r>
    <n v="3507"/>
    <s v="Marcela Torres"/>
    <x v="1"/>
    <x v="275"/>
    <x v="1"/>
    <n v="5"/>
    <x v="0"/>
    <x v="1"/>
    <s v="-"/>
    <s v="No"/>
    <n v="0"/>
    <x v="4"/>
    <n v="4"/>
  </r>
  <r>
    <n v="3508"/>
    <s v="Natália Castro"/>
    <x v="0"/>
    <x v="276"/>
    <x v="0"/>
    <n v="15"/>
    <x v="1"/>
    <x v="0"/>
    <n v="30"/>
    <s v="Yes"/>
    <n v="20"/>
    <x v="3"/>
    <n v="62"/>
  </r>
  <r>
    <n v="3509"/>
    <s v="Oscar Martins"/>
    <x v="2"/>
    <x v="277"/>
    <x v="1"/>
    <n v="10"/>
    <x v="0"/>
    <x v="1"/>
    <s v="-"/>
    <s v="Yes"/>
    <n v="20"/>
    <x v="2"/>
    <n v="20"/>
  </r>
  <r>
    <n v="3510"/>
    <s v="Patrícia Oliveira"/>
    <x v="1"/>
    <x v="278"/>
    <x v="0"/>
    <n v="5"/>
    <x v="2"/>
    <x v="1"/>
    <s v="-"/>
    <s v="No"/>
    <n v="0"/>
    <x v="1"/>
    <n v="5"/>
  </r>
  <r>
    <n v="3511"/>
    <s v="Quentin Nogueira"/>
    <x v="0"/>
    <x v="279"/>
    <x v="1"/>
    <n v="15"/>
    <x v="0"/>
    <x v="0"/>
    <n v="30"/>
    <s v="Yes"/>
    <n v="20"/>
    <x v="6"/>
    <n v="50"/>
  </r>
  <r>
    <n v="3512"/>
    <s v="Raquel Silva"/>
    <x v="2"/>
    <x v="280"/>
    <x v="0"/>
    <n v="10"/>
    <x v="1"/>
    <x v="1"/>
    <s v="-"/>
    <s v="Yes"/>
    <n v="20"/>
    <x v="6"/>
    <n v="15"/>
  </r>
  <r>
    <n v="3513"/>
    <s v="Sandro Gomes"/>
    <x v="1"/>
    <x v="281"/>
    <x v="1"/>
    <n v="5"/>
    <x v="0"/>
    <x v="1"/>
    <s v="-"/>
    <s v="No"/>
    <n v="0"/>
    <x v="4"/>
    <n v="4"/>
  </r>
  <r>
    <n v="3514"/>
    <s v="Tânia Machado"/>
    <x v="0"/>
    <x v="282"/>
    <x v="0"/>
    <n v="15"/>
    <x v="2"/>
    <x v="0"/>
    <n v="30"/>
    <s v="Yes"/>
    <n v="20"/>
    <x v="10"/>
    <n v="58"/>
  </r>
  <r>
    <n v="3515"/>
    <s v="Ursula Silva"/>
    <x v="2"/>
    <x v="283"/>
    <x v="1"/>
    <n v="10"/>
    <x v="0"/>
    <x v="1"/>
    <s v="-"/>
    <s v="Yes"/>
    <n v="20"/>
    <x v="2"/>
    <n v="20"/>
  </r>
  <r>
    <n v="3516"/>
    <s v="Vanessa Moraes"/>
    <x v="1"/>
    <x v="284"/>
    <x v="0"/>
    <n v="5"/>
    <x v="1"/>
    <x v="1"/>
    <s v="-"/>
    <s v="No"/>
    <n v="0"/>
    <x v="1"/>
    <n v="5"/>
  </r>
  <r>
    <n v="3517"/>
    <s v="William Carvalho"/>
    <x v="0"/>
    <x v="285"/>
    <x v="1"/>
    <n v="15"/>
    <x v="0"/>
    <x v="0"/>
    <n v="30"/>
    <s v="Yes"/>
    <n v="20"/>
    <x v="7"/>
    <n v="45"/>
  </r>
  <r>
    <n v="3518"/>
    <s v="Xavier Reis"/>
    <x v="2"/>
    <x v="286"/>
    <x v="0"/>
    <n v="10"/>
    <x v="2"/>
    <x v="1"/>
    <s v="-"/>
    <s v="Yes"/>
    <n v="20"/>
    <x v="9"/>
    <n v="18"/>
  </r>
  <r>
    <n v="3519"/>
    <s v="Yasmin Rocha"/>
    <x v="1"/>
    <x v="287"/>
    <x v="1"/>
    <n v="5"/>
    <x v="0"/>
    <x v="1"/>
    <s v="-"/>
    <s v="No"/>
    <n v="0"/>
    <x v="5"/>
    <n v="3"/>
  </r>
  <r>
    <n v="3520"/>
    <s v="Zacarias Duarte"/>
    <x v="0"/>
    <x v="288"/>
    <x v="0"/>
    <n v="15"/>
    <x v="1"/>
    <x v="0"/>
    <n v="30"/>
    <s v="Yes"/>
    <n v="20"/>
    <x v="0"/>
    <n v="60"/>
  </r>
  <r>
    <n v="3521"/>
    <s v="Amanda Freitas"/>
    <x v="2"/>
    <x v="289"/>
    <x v="1"/>
    <n v="10"/>
    <x v="0"/>
    <x v="1"/>
    <s v="-"/>
    <s v="Yes"/>
    <n v="20"/>
    <x v="2"/>
    <n v="20"/>
  </r>
  <r>
    <n v="3522"/>
    <s v="Bruno Almeida"/>
    <x v="1"/>
    <x v="290"/>
    <x v="0"/>
    <n v="5"/>
    <x v="2"/>
    <x v="1"/>
    <s v="-"/>
    <s v="No"/>
    <n v="0"/>
    <x v="1"/>
    <n v="5"/>
  </r>
  <r>
    <n v="3523"/>
    <s v="Carla Siqueira"/>
    <x v="0"/>
    <x v="291"/>
    <x v="1"/>
    <n v="15"/>
    <x v="0"/>
    <x v="0"/>
    <n v="30"/>
    <s v="Yes"/>
    <n v="20"/>
    <x v="3"/>
    <n v="62"/>
  </r>
  <r>
    <n v="3524"/>
    <s v="Diogo Ramos"/>
    <x v="2"/>
    <x v="292"/>
    <x v="0"/>
    <n v="10"/>
    <x v="1"/>
    <x v="1"/>
    <s v="-"/>
    <s v="Yes"/>
    <n v="20"/>
    <x v="6"/>
    <n v="15"/>
  </r>
  <r>
    <n v="3525"/>
    <s v="Elisa Magalhães"/>
    <x v="1"/>
    <x v="293"/>
    <x v="1"/>
    <n v="5"/>
    <x v="0"/>
    <x v="1"/>
    <s v="-"/>
    <s v="No"/>
    <n v="0"/>
    <x v="4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x v="0"/>
  </r>
  <r>
    <x v="0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ED6C1-D3F3-4D8D-BCD3-AE0FD5D4C60C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63:F76" firstHeaderRow="1" firstDataRow="1" firstDataCol="1"/>
  <pivotFields count="1"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olumn1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B7A83-E284-4DC8-91B3-9C773DDF3583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3:B55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dataField="1"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upon Value" fld="11" baseField="0" baseItem="0" numFmtId="164"/>
  </dataField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BF32-A435-45BE-BDA6-B21E2DDE5573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2:B15" firstHeaderRow="1" firstDataRow="1" firstDataCol="1"/>
  <pivotFields count="13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dataField="1"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Auto Renewal" fld="4" subtotal="count" baseField="0" baseItem="0"/>
  </dataField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461A5-1FE0-431C-8CC6-EB90D6AEDC14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B41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axis="axisRow" dataField="1" compact="0" numFmtId="164" outline="0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compact="0" numFmtId="164" outline="0"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upon Valu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6D5B4-CE52-4CED-A85C-1DB8703BBA68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A27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Items count="1">
    <i/>
  </rowItems>
  <colItems count="1">
    <i/>
  </colItems>
  <dataFields count="1">
    <dataField name="Sum of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93F91-D91B-4A9E-A719-F879EF1FFAD4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A18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Items count="1">
    <i/>
  </rowItems>
  <colItems count="1">
    <i/>
  </colItems>
  <dataFields count="1">
    <dataField name="Sum of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E12F2-6EED-4315-B7D7-139F8306C0A7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63:B358" firstHeaderRow="1" firstDataRow="1" firstDataCol="1"/>
  <pivotFields count="13">
    <pivotField compact="0" outline="0" showAll="0"/>
    <pivotField compact="0" outline="0" showAll="0"/>
    <pivotField compact="0" outline="0" showAll="0"/>
    <pivotField axis="axisRow" dataField="1"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3"/>
  </rowFields>
  <rowItems count="2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 t="grand">
      <x/>
    </i>
  </rowItems>
  <colItems count="1">
    <i/>
  </colItems>
  <dataFields count="1">
    <dataField name="Count of Start Date" fld="3" subtotal="count" baseField="0" baseItem="0"/>
  </dataFields>
  <formats count="6">
    <format dxfId="14">
      <pivotArea dataOnly="0" labelOnly="1" outline="0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outline="0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outline="0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">
      <pivotArea dataOnly="0" labelOnly="1" outline="0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8">
      <pivotArea dataOnly="0" labelOnly="1" outline="0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9">
      <pivotArea dataOnly="0" labelOnly="1" outline="0" fieldPosition="0">
        <references count="1">
          <reference field="3" count="4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4A8A0-A46D-406C-8357-940F56CBD6E4}" name="Pivo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57:B61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ption Type" fld="6" subtotal="count" baseField="0" baseItem="0"/>
  </dataFields>
  <chartFormats count="1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84263-54F5-4F75-BAB0-6F86FF893A9D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B24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ption Type" fld="6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5432A-D45C-4403-9B11-53F1752965DB}" name="Table2" displayName="Table2" ref="D64:D358" totalsRowShown="0">
  <autoFilter ref="D64:D358" xr:uid="{2D45432A-D45C-4403-9B11-53F1752965DB}"/>
  <tableColumns count="1">
    <tableColumn id="1" xr3:uid="{B1E31A55-7DBB-44B0-A7E1-F6A90E03DC91}" name="Column1">
      <calculatedColumnFormula>TEXT(A64, "mm/yyyy")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M1" sqref="M1:M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8:F358"/>
  <sheetViews>
    <sheetView showGridLines="0" topLeftCell="A60" workbookViewId="0">
      <selection activeCell="E63" sqref="E63:F76"/>
    </sheetView>
  </sheetViews>
  <sheetFormatPr defaultRowHeight="15"/>
  <cols>
    <col min="1" max="1" width="12.85546875" bestFit="1" customWidth="1"/>
    <col min="2" max="2" width="17.7109375" customWidth="1"/>
    <col min="3" max="3" width="9.28515625" bestFit="1" customWidth="1"/>
    <col min="4" max="4" width="25.5703125" bestFit="1" customWidth="1"/>
    <col min="5" max="5" width="12.140625" customWidth="1"/>
    <col min="6" max="6" width="16.85546875" bestFit="1" customWidth="1"/>
    <col min="7" max="7" width="10.28515625" bestFit="1" customWidth="1"/>
    <col min="8" max="8" width="8.140625" customWidth="1"/>
    <col min="9" max="12" width="10.28515625" bestFit="1" customWidth="1"/>
    <col min="13" max="13" width="12" bestFit="1" customWidth="1"/>
    <col min="14" max="15" width="9.7109375" bestFit="1" customWidth="1"/>
    <col min="16" max="16" width="15.5703125" bestFit="1" customWidth="1"/>
    <col min="17" max="17" width="12.140625" bestFit="1" customWidth="1"/>
  </cols>
  <sheetData>
    <row r="8" spans="1:2">
      <c r="A8" s="13"/>
    </row>
    <row r="9" spans="1:2">
      <c r="A9" s="13"/>
    </row>
    <row r="12" spans="1:2">
      <c r="A12" s="19" t="s">
        <v>15</v>
      </c>
      <c r="B12" t="s">
        <v>313</v>
      </c>
    </row>
    <row r="13" spans="1:2">
      <c r="A13" t="s">
        <v>30</v>
      </c>
      <c r="B13" s="20">
        <v>147</v>
      </c>
    </row>
    <row r="14" spans="1:2">
      <c r="A14" t="s">
        <v>26</v>
      </c>
      <c r="B14" s="20">
        <v>148</v>
      </c>
    </row>
    <row r="15" spans="1:2">
      <c r="A15" t="s">
        <v>314</v>
      </c>
      <c r="B15" s="20">
        <v>295</v>
      </c>
    </row>
    <row r="17" spans="1:2">
      <c r="A17" t="s">
        <v>315</v>
      </c>
    </row>
    <row r="18" spans="1:2">
      <c r="A18" s="18">
        <v>7633</v>
      </c>
    </row>
    <row r="20" spans="1:2">
      <c r="A20" s="19" t="s">
        <v>17</v>
      </c>
      <c r="B20" t="s">
        <v>316</v>
      </c>
    </row>
    <row r="21" spans="1:2">
      <c r="A21" t="s">
        <v>31</v>
      </c>
      <c r="B21" s="20">
        <v>71</v>
      </c>
    </row>
    <row r="22" spans="1:2">
      <c r="A22" t="s">
        <v>27</v>
      </c>
      <c r="B22" s="20">
        <v>139</v>
      </c>
    </row>
    <row r="23" spans="1:2">
      <c r="A23" t="s">
        <v>35</v>
      </c>
      <c r="B23" s="20">
        <v>85</v>
      </c>
    </row>
    <row r="24" spans="1:2">
      <c r="A24" t="s">
        <v>314</v>
      </c>
      <c r="B24" s="20">
        <v>295</v>
      </c>
    </row>
    <row r="26" spans="1:2">
      <c r="A26" t="s">
        <v>317</v>
      </c>
    </row>
    <row r="27" spans="1:2">
      <c r="A27" s="18">
        <v>3880</v>
      </c>
    </row>
    <row r="29" spans="1:2">
      <c r="A29" s="19" t="s">
        <v>22</v>
      </c>
      <c r="B29" t="s">
        <v>318</v>
      </c>
    </row>
    <row r="30" spans="1:2">
      <c r="A30" s="18">
        <v>0</v>
      </c>
      <c r="B30" s="18">
        <v>0</v>
      </c>
    </row>
    <row r="31" spans="1:2">
      <c r="A31" s="18">
        <v>1</v>
      </c>
      <c r="B31" s="18">
        <v>39</v>
      </c>
    </row>
    <row r="32" spans="1:2">
      <c r="A32" s="18">
        <v>2</v>
      </c>
      <c r="B32" s="18">
        <v>24</v>
      </c>
    </row>
    <row r="33" spans="1:2">
      <c r="A33" s="18">
        <v>3</v>
      </c>
      <c r="B33" s="18">
        <v>63</v>
      </c>
    </row>
    <row r="34" spans="1:2">
      <c r="A34" s="18">
        <v>5</v>
      </c>
      <c r="B34" s="18">
        <v>125</v>
      </c>
    </row>
    <row r="35" spans="1:2">
      <c r="A35" s="18">
        <v>7</v>
      </c>
      <c r="B35" s="18">
        <v>161</v>
      </c>
    </row>
    <row r="36" spans="1:2">
      <c r="A36" s="18">
        <v>8</v>
      </c>
      <c r="B36" s="18">
        <v>8</v>
      </c>
    </row>
    <row r="37" spans="1:2">
      <c r="A37" s="18">
        <v>10</v>
      </c>
      <c r="B37" s="18">
        <v>440</v>
      </c>
    </row>
    <row r="38" spans="1:2">
      <c r="A38" s="18">
        <v>12</v>
      </c>
      <c r="B38" s="18">
        <v>132</v>
      </c>
    </row>
    <row r="39" spans="1:2">
      <c r="A39" s="18">
        <v>15</v>
      </c>
      <c r="B39" s="18">
        <v>690</v>
      </c>
    </row>
    <row r="40" spans="1:2">
      <c r="A40" s="18">
        <v>20</v>
      </c>
      <c r="B40" s="18">
        <v>440</v>
      </c>
    </row>
    <row r="41" spans="1:2">
      <c r="A41" s="18" t="s">
        <v>314</v>
      </c>
      <c r="B41" s="18">
        <v>2122</v>
      </c>
    </row>
    <row r="43" spans="1:2">
      <c r="A43" s="19" t="s">
        <v>22</v>
      </c>
      <c r="B43" t="s">
        <v>318</v>
      </c>
    </row>
    <row r="44" spans="1:2">
      <c r="A44" s="18">
        <v>0</v>
      </c>
      <c r="B44" s="18">
        <v>0</v>
      </c>
    </row>
    <row r="45" spans="1:2">
      <c r="A45" s="18">
        <v>1</v>
      </c>
      <c r="B45" s="18">
        <v>39</v>
      </c>
    </row>
    <row r="46" spans="1:2">
      <c r="A46" s="18">
        <v>2</v>
      </c>
      <c r="B46" s="18">
        <v>24</v>
      </c>
    </row>
    <row r="47" spans="1:2">
      <c r="A47" s="18">
        <v>3</v>
      </c>
      <c r="B47" s="18">
        <v>63</v>
      </c>
    </row>
    <row r="48" spans="1:2">
      <c r="A48" s="18">
        <v>5</v>
      </c>
      <c r="B48" s="18">
        <v>125</v>
      </c>
    </row>
    <row r="49" spans="1:6">
      <c r="A49" s="18">
        <v>7</v>
      </c>
      <c r="B49" s="18">
        <v>161</v>
      </c>
    </row>
    <row r="50" spans="1:6">
      <c r="A50" s="18">
        <v>8</v>
      </c>
      <c r="B50" s="18">
        <v>8</v>
      </c>
    </row>
    <row r="51" spans="1:6">
      <c r="A51" s="18">
        <v>10</v>
      </c>
      <c r="B51" s="18">
        <v>440</v>
      </c>
    </row>
    <row r="52" spans="1:6">
      <c r="A52" s="18">
        <v>12</v>
      </c>
      <c r="B52" s="18">
        <v>132</v>
      </c>
    </row>
    <row r="53" spans="1:6">
      <c r="A53" s="18">
        <v>15</v>
      </c>
      <c r="B53" s="18">
        <v>690</v>
      </c>
    </row>
    <row r="54" spans="1:6">
      <c r="A54" s="18">
        <v>20</v>
      </c>
      <c r="B54" s="18">
        <v>440</v>
      </c>
    </row>
    <row r="55" spans="1:6">
      <c r="A55" s="18" t="s">
        <v>314</v>
      </c>
      <c r="B55" s="18">
        <v>2122</v>
      </c>
    </row>
    <row r="57" spans="1:6">
      <c r="A57" s="19" t="s">
        <v>17</v>
      </c>
      <c r="B57" t="s">
        <v>316</v>
      </c>
    </row>
    <row r="58" spans="1:6">
      <c r="A58" t="s">
        <v>31</v>
      </c>
      <c r="B58" s="20">
        <v>71</v>
      </c>
    </row>
    <row r="59" spans="1:6">
      <c r="A59" t="s">
        <v>27</v>
      </c>
      <c r="B59" s="20">
        <v>139</v>
      </c>
    </row>
    <row r="60" spans="1:6">
      <c r="A60" t="s">
        <v>35</v>
      </c>
      <c r="B60" s="20">
        <v>85</v>
      </c>
    </row>
    <row r="61" spans="1:6">
      <c r="A61" t="s">
        <v>314</v>
      </c>
      <c r="B61" s="20">
        <v>295</v>
      </c>
    </row>
    <row r="63" spans="1:6">
      <c r="A63" s="19" t="s">
        <v>14</v>
      </c>
      <c r="B63" t="s">
        <v>319</v>
      </c>
      <c r="E63" s="19" t="s">
        <v>320</v>
      </c>
      <c r="F63" t="s">
        <v>321</v>
      </c>
    </row>
    <row r="64" spans="1:6">
      <c r="A64" s="24">
        <v>45292</v>
      </c>
      <c r="B64" s="20">
        <v>1</v>
      </c>
      <c r="D64" t="s">
        <v>320</v>
      </c>
      <c r="E64" t="s">
        <v>322</v>
      </c>
      <c r="F64" s="20">
        <v>2</v>
      </c>
    </row>
    <row r="65" spans="1:6">
      <c r="A65" s="24">
        <v>45306</v>
      </c>
      <c r="B65" s="20">
        <v>1</v>
      </c>
      <c r="D65" t="str">
        <f>TEXT(A64, "mm/yyyy")</f>
        <v>01/2024</v>
      </c>
      <c r="E65" t="s">
        <v>323</v>
      </c>
      <c r="F65" s="20">
        <v>2</v>
      </c>
    </row>
    <row r="66" spans="1:6">
      <c r="A66" s="24">
        <v>45332</v>
      </c>
      <c r="B66" s="20">
        <v>1</v>
      </c>
      <c r="D66" t="str">
        <f>TEXT(A65, "mm/yyyy")</f>
        <v>01/2024</v>
      </c>
      <c r="E66" t="s">
        <v>324</v>
      </c>
      <c r="F66" s="20">
        <v>30</v>
      </c>
    </row>
    <row r="67" spans="1:6">
      <c r="A67" s="24">
        <v>45342</v>
      </c>
      <c r="B67" s="20">
        <v>1</v>
      </c>
      <c r="D67" t="str">
        <f>TEXT(A66, "mm/yyyy")</f>
        <v>02/2024</v>
      </c>
      <c r="E67" t="s">
        <v>325</v>
      </c>
      <c r="F67" s="20">
        <v>30</v>
      </c>
    </row>
    <row r="68" spans="1:6">
      <c r="A68" s="24">
        <v>45353</v>
      </c>
      <c r="B68" s="20">
        <v>1</v>
      </c>
      <c r="D68" t="str">
        <f>TEXT(A67, "mm/yyyy")</f>
        <v>02/2024</v>
      </c>
      <c r="E68" t="s">
        <v>326</v>
      </c>
      <c r="F68" s="20">
        <v>31</v>
      </c>
    </row>
    <row r="69" spans="1:6">
      <c r="A69" s="24">
        <v>45354</v>
      </c>
      <c r="B69" s="20">
        <v>1</v>
      </c>
      <c r="D69" t="str">
        <f>TEXT(A68, "mm/yyyy")</f>
        <v>03/2024</v>
      </c>
      <c r="E69" t="s">
        <v>327</v>
      </c>
      <c r="F69" s="20">
        <v>30</v>
      </c>
    </row>
    <row r="70" spans="1:6">
      <c r="A70" s="24">
        <v>45355</v>
      </c>
      <c r="B70" s="20">
        <v>1</v>
      </c>
      <c r="D70" t="str">
        <f>TEXT(A69, "mm/yyyy")</f>
        <v>03/2024</v>
      </c>
      <c r="E70" t="s">
        <v>328</v>
      </c>
      <c r="F70" s="20">
        <v>31</v>
      </c>
    </row>
    <row r="71" spans="1:6">
      <c r="A71" s="24">
        <v>45356</v>
      </c>
      <c r="B71" s="20">
        <v>2</v>
      </c>
      <c r="D71" t="str">
        <f>TEXT(A70, "mm/yyyy")</f>
        <v>03/2024</v>
      </c>
      <c r="E71" t="s">
        <v>329</v>
      </c>
      <c r="F71" s="20">
        <v>31</v>
      </c>
    </row>
    <row r="72" spans="1:6">
      <c r="A72" s="24">
        <v>45357</v>
      </c>
      <c r="B72" s="20">
        <v>1</v>
      </c>
      <c r="D72" t="str">
        <f>TEXT(A71, "mm/yyyy")</f>
        <v>03/2024</v>
      </c>
      <c r="E72" t="s">
        <v>330</v>
      </c>
      <c r="F72" s="20">
        <v>30</v>
      </c>
    </row>
    <row r="73" spans="1:6">
      <c r="A73" s="24">
        <v>45358</v>
      </c>
      <c r="B73" s="20">
        <v>1</v>
      </c>
      <c r="D73" t="str">
        <f>TEXT(A72, "mm/yyyy")</f>
        <v>03/2024</v>
      </c>
      <c r="E73" t="s">
        <v>331</v>
      </c>
      <c r="F73" s="20">
        <v>31</v>
      </c>
    </row>
    <row r="74" spans="1:6">
      <c r="A74" s="24">
        <v>45359</v>
      </c>
      <c r="B74" s="20">
        <v>1</v>
      </c>
      <c r="D74" t="str">
        <f>TEXT(A73, "mm/yyyy")</f>
        <v>03/2024</v>
      </c>
      <c r="E74" t="s">
        <v>332</v>
      </c>
      <c r="F74" s="20">
        <v>30</v>
      </c>
    </row>
    <row r="75" spans="1:6">
      <c r="A75" s="24">
        <v>45360</v>
      </c>
      <c r="B75" s="20">
        <v>1</v>
      </c>
      <c r="D75" t="str">
        <f>TEXT(A74, "mm/yyyy")</f>
        <v>03/2024</v>
      </c>
      <c r="E75" t="s">
        <v>333</v>
      </c>
      <c r="F75" s="20">
        <v>16</v>
      </c>
    </row>
    <row r="76" spans="1:6">
      <c r="A76" s="24">
        <v>45361</v>
      </c>
      <c r="B76" s="20">
        <v>1</v>
      </c>
      <c r="D76" t="str">
        <f>TEXT(A75, "mm/yyyy")</f>
        <v>03/2024</v>
      </c>
      <c r="E76" t="s">
        <v>314</v>
      </c>
      <c r="F76" s="20">
        <v>294</v>
      </c>
    </row>
    <row r="77" spans="1:6">
      <c r="A77" s="24">
        <v>45362</v>
      </c>
      <c r="B77" s="20">
        <v>1</v>
      </c>
      <c r="D77" t="str">
        <f>TEXT(A76, "mm/yyyy")</f>
        <v>03/2024</v>
      </c>
    </row>
    <row r="78" spans="1:6">
      <c r="A78" s="24">
        <v>45363</v>
      </c>
      <c r="B78" s="20">
        <v>1</v>
      </c>
      <c r="D78" t="str">
        <f>TEXT(A77, "mm/yyyy")</f>
        <v>03/2024</v>
      </c>
    </row>
    <row r="79" spans="1:6">
      <c r="A79" s="24">
        <v>45364</v>
      </c>
      <c r="B79" s="20">
        <v>1</v>
      </c>
      <c r="D79" t="str">
        <f>TEXT(A78, "mm/yyyy")</f>
        <v>03/2024</v>
      </c>
    </row>
    <row r="80" spans="1:6">
      <c r="A80" s="24">
        <v>45365</v>
      </c>
      <c r="B80" s="20">
        <v>1</v>
      </c>
      <c r="D80" t="str">
        <f>TEXT(A79, "mm/yyyy")</f>
        <v>03/2024</v>
      </c>
    </row>
    <row r="81" spans="1:4">
      <c r="A81" s="24">
        <v>45366</v>
      </c>
      <c r="B81" s="20">
        <v>1</v>
      </c>
      <c r="D81" t="str">
        <f>TEXT(A80, "mm/yyyy")</f>
        <v>03/2024</v>
      </c>
    </row>
    <row r="82" spans="1:4">
      <c r="A82" s="24">
        <v>45367</v>
      </c>
      <c r="B82" s="20">
        <v>1</v>
      </c>
      <c r="D82" t="str">
        <f>TEXT(A81, "mm/yyyy")</f>
        <v>03/2024</v>
      </c>
    </row>
    <row r="83" spans="1:4">
      <c r="A83" s="24">
        <v>45368</v>
      </c>
      <c r="B83" s="20">
        <v>1</v>
      </c>
      <c r="D83" t="str">
        <f>TEXT(A82, "mm/yyyy")</f>
        <v>03/2024</v>
      </c>
    </row>
    <row r="84" spans="1:4">
      <c r="A84" s="24">
        <v>45369</v>
      </c>
      <c r="B84" s="20">
        <v>1</v>
      </c>
      <c r="D84" t="str">
        <f>TEXT(A83, "mm/yyyy")</f>
        <v>03/2024</v>
      </c>
    </row>
    <row r="85" spans="1:4">
      <c r="A85" s="24">
        <v>45370</v>
      </c>
      <c r="B85" s="20">
        <v>1</v>
      </c>
      <c r="D85" t="str">
        <f>TEXT(A84, "mm/yyyy")</f>
        <v>03/2024</v>
      </c>
    </row>
    <row r="86" spans="1:4">
      <c r="A86" s="24">
        <v>45371</v>
      </c>
      <c r="B86" s="20">
        <v>1</v>
      </c>
      <c r="D86" t="str">
        <f>TEXT(A85, "mm/yyyy")</f>
        <v>03/2024</v>
      </c>
    </row>
    <row r="87" spans="1:4">
      <c r="A87" s="24">
        <v>45372</v>
      </c>
      <c r="B87" s="20">
        <v>1</v>
      </c>
      <c r="D87" t="str">
        <f>TEXT(A86, "mm/yyyy")</f>
        <v>03/2024</v>
      </c>
    </row>
    <row r="88" spans="1:4">
      <c r="A88" s="24">
        <v>45373</v>
      </c>
      <c r="B88" s="20">
        <v>1</v>
      </c>
      <c r="D88" t="str">
        <f>TEXT(A87, "mm/yyyy")</f>
        <v>03/2024</v>
      </c>
    </row>
    <row r="89" spans="1:4">
      <c r="A89" s="24">
        <v>45374</v>
      </c>
      <c r="B89" s="20">
        <v>1</v>
      </c>
      <c r="D89" t="str">
        <f>TEXT(A88, "mm/yyyy")</f>
        <v>03/2024</v>
      </c>
    </row>
    <row r="90" spans="1:4">
      <c r="A90" s="24">
        <v>45375</v>
      </c>
      <c r="B90" s="20">
        <v>1</v>
      </c>
      <c r="D90" t="str">
        <f>TEXT(A89, "mm/yyyy")</f>
        <v>03/2024</v>
      </c>
    </row>
    <row r="91" spans="1:4">
      <c r="A91" s="24">
        <v>45376</v>
      </c>
      <c r="B91" s="20">
        <v>1</v>
      </c>
      <c r="D91" t="str">
        <f>TEXT(A90, "mm/yyyy")</f>
        <v>03/2024</v>
      </c>
    </row>
    <row r="92" spans="1:4">
      <c r="A92" s="24">
        <v>45377</v>
      </c>
      <c r="B92" s="20">
        <v>1</v>
      </c>
      <c r="D92" t="str">
        <f>TEXT(A91, "mm/yyyy")</f>
        <v>03/2024</v>
      </c>
    </row>
    <row r="93" spans="1:4">
      <c r="A93" s="24">
        <v>45378</v>
      </c>
      <c r="B93" s="20">
        <v>1</v>
      </c>
      <c r="D93" t="str">
        <f>TEXT(A92, "mm/yyyy")</f>
        <v>03/2024</v>
      </c>
    </row>
    <row r="94" spans="1:4">
      <c r="A94" s="24">
        <v>45379</v>
      </c>
      <c r="B94" s="20">
        <v>1</v>
      </c>
      <c r="D94" t="str">
        <f>TEXT(A93, "mm/yyyy")</f>
        <v>03/2024</v>
      </c>
    </row>
    <row r="95" spans="1:4">
      <c r="A95" s="24">
        <v>45380</v>
      </c>
      <c r="B95" s="20">
        <v>1</v>
      </c>
      <c r="D95" t="str">
        <f>TEXT(A94, "mm/yyyy")</f>
        <v>03/2024</v>
      </c>
    </row>
    <row r="96" spans="1:4">
      <c r="A96" s="24">
        <v>45381</v>
      </c>
      <c r="B96" s="20">
        <v>1</v>
      </c>
      <c r="D96" t="str">
        <f>TEXT(A95, "mm/yyyy")</f>
        <v>03/2024</v>
      </c>
    </row>
    <row r="97" spans="1:4">
      <c r="A97" s="24">
        <v>45382</v>
      </c>
      <c r="B97" s="20">
        <v>1</v>
      </c>
      <c r="D97" t="str">
        <f>TEXT(A96, "mm/yyyy")</f>
        <v>03/2024</v>
      </c>
    </row>
    <row r="98" spans="1:4">
      <c r="A98" s="24">
        <v>45383</v>
      </c>
      <c r="B98" s="20">
        <v>1</v>
      </c>
      <c r="D98" t="str">
        <f>TEXT(A97, "mm/yyyy")</f>
        <v>03/2024</v>
      </c>
    </row>
    <row r="99" spans="1:4">
      <c r="A99" s="24">
        <v>45384</v>
      </c>
      <c r="B99" s="20">
        <v>1</v>
      </c>
      <c r="D99" t="str">
        <f>TEXT(A98, "mm/yyyy")</f>
        <v>04/2024</v>
      </c>
    </row>
    <row r="100" spans="1:4">
      <c r="A100" s="24">
        <v>45385</v>
      </c>
      <c r="B100" s="20">
        <v>1</v>
      </c>
      <c r="D100" t="str">
        <f>TEXT(A99, "mm/yyyy")</f>
        <v>04/2024</v>
      </c>
    </row>
    <row r="101" spans="1:4">
      <c r="A101" s="24">
        <v>45386</v>
      </c>
      <c r="B101" s="20">
        <v>1</v>
      </c>
      <c r="D101" t="str">
        <f>TEXT(A100, "mm/yyyy")</f>
        <v>04/2024</v>
      </c>
    </row>
    <row r="102" spans="1:4">
      <c r="A102" s="24">
        <v>45387</v>
      </c>
      <c r="B102" s="20">
        <v>1</v>
      </c>
      <c r="D102" t="str">
        <f>TEXT(A101, "mm/yyyy")</f>
        <v>04/2024</v>
      </c>
    </row>
    <row r="103" spans="1:4">
      <c r="A103" s="24">
        <v>45388</v>
      </c>
      <c r="B103" s="20">
        <v>1</v>
      </c>
      <c r="D103" t="str">
        <f>TEXT(A102, "mm/yyyy")</f>
        <v>04/2024</v>
      </c>
    </row>
    <row r="104" spans="1:4">
      <c r="A104" s="24">
        <v>45389</v>
      </c>
      <c r="B104" s="20">
        <v>1</v>
      </c>
      <c r="D104" t="str">
        <f>TEXT(A103, "mm/yyyy")</f>
        <v>04/2024</v>
      </c>
    </row>
    <row r="105" spans="1:4">
      <c r="A105" s="24">
        <v>45390</v>
      </c>
      <c r="B105" s="20">
        <v>1</v>
      </c>
      <c r="D105" t="str">
        <f>TEXT(A104, "mm/yyyy")</f>
        <v>04/2024</v>
      </c>
    </row>
    <row r="106" spans="1:4">
      <c r="A106" s="24">
        <v>45391</v>
      </c>
      <c r="B106" s="20">
        <v>1</v>
      </c>
      <c r="D106" t="str">
        <f>TEXT(A105, "mm/yyyy")</f>
        <v>04/2024</v>
      </c>
    </row>
    <row r="107" spans="1:4">
      <c r="A107" s="24">
        <v>45392</v>
      </c>
      <c r="B107" s="20">
        <v>1</v>
      </c>
      <c r="D107" t="str">
        <f>TEXT(A106, "mm/yyyy")</f>
        <v>04/2024</v>
      </c>
    </row>
    <row r="108" spans="1:4">
      <c r="A108" s="24">
        <v>45393</v>
      </c>
      <c r="B108" s="20">
        <v>1</v>
      </c>
      <c r="D108" t="str">
        <f>TEXT(A107, "mm/yyyy")</f>
        <v>04/2024</v>
      </c>
    </row>
    <row r="109" spans="1:4">
      <c r="A109" s="24">
        <v>45394</v>
      </c>
      <c r="B109" s="20">
        <v>1</v>
      </c>
      <c r="D109" t="str">
        <f>TEXT(A108, "mm/yyyy")</f>
        <v>04/2024</v>
      </c>
    </row>
    <row r="110" spans="1:4">
      <c r="A110" s="24">
        <v>45395</v>
      </c>
      <c r="B110" s="20">
        <v>1</v>
      </c>
      <c r="D110" t="str">
        <f>TEXT(A109, "mm/yyyy")</f>
        <v>04/2024</v>
      </c>
    </row>
    <row r="111" spans="1:4">
      <c r="A111" s="24">
        <v>45396</v>
      </c>
      <c r="B111" s="20">
        <v>1</v>
      </c>
      <c r="D111" t="str">
        <f>TEXT(A110, "mm/yyyy")</f>
        <v>04/2024</v>
      </c>
    </row>
    <row r="112" spans="1:4">
      <c r="A112" s="24">
        <v>45397</v>
      </c>
      <c r="B112" s="20">
        <v>1</v>
      </c>
      <c r="D112" t="str">
        <f>TEXT(A111, "mm/yyyy")</f>
        <v>04/2024</v>
      </c>
    </row>
    <row r="113" spans="1:4">
      <c r="A113" s="24">
        <v>45398</v>
      </c>
      <c r="B113" s="20">
        <v>1</v>
      </c>
      <c r="D113" t="str">
        <f>TEXT(A112, "mm/yyyy")</f>
        <v>04/2024</v>
      </c>
    </row>
    <row r="114" spans="1:4">
      <c r="A114" s="24">
        <v>45399</v>
      </c>
      <c r="B114" s="20">
        <v>1</v>
      </c>
      <c r="D114" t="str">
        <f>TEXT(A113, "mm/yyyy")</f>
        <v>04/2024</v>
      </c>
    </row>
    <row r="115" spans="1:4">
      <c r="A115" s="24">
        <v>45400</v>
      </c>
      <c r="B115" s="20">
        <v>1</v>
      </c>
      <c r="D115" t="str">
        <f>TEXT(A114, "mm/yyyy")</f>
        <v>04/2024</v>
      </c>
    </row>
    <row r="116" spans="1:4">
      <c r="A116" s="24">
        <v>45401</v>
      </c>
      <c r="B116" s="20">
        <v>1</v>
      </c>
      <c r="D116" t="str">
        <f>TEXT(A115, "mm/yyyy")</f>
        <v>04/2024</v>
      </c>
    </row>
    <row r="117" spans="1:4">
      <c r="A117" s="24">
        <v>45402</v>
      </c>
      <c r="B117" s="20">
        <v>1</v>
      </c>
      <c r="D117" t="str">
        <f>TEXT(A116, "mm/yyyy")</f>
        <v>04/2024</v>
      </c>
    </row>
    <row r="118" spans="1:4">
      <c r="A118" s="24">
        <v>45403</v>
      </c>
      <c r="B118" s="20">
        <v>1</v>
      </c>
      <c r="D118" t="str">
        <f>TEXT(A117, "mm/yyyy")</f>
        <v>04/2024</v>
      </c>
    </row>
    <row r="119" spans="1:4">
      <c r="A119" s="24">
        <v>45404</v>
      </c>
      <c r="B119" s="20">
        <v>1</v>
      </c>
      <c r="D119" t="str">
        <f>TEXT(A118, "mm/yyyy")</f>
        <v>04/2024</v>
      </c>
    </row>
    <row r="120" spans="1:4">
      <c r="A120" s="24">
        <v>45405</v>
      </c>
      <c r="B120" s="20">
        <v>1</v>
      </c>
      <c r="D120" t="str">
        <f>TEXT(A119, "mm/yyyy")</f>
        <v>04/2024</v>
      </c>
    </row>
    <row r="121" spans="1:4">
      <c r="A121" s="24">
        <v>45406</v>
      </c>
      <c r="B121" s="20">
        <v>1</v>
      </c>
      <c r="D121" t="str">
        <f>TEXT(A120, "mm/yyyy")</f>
        <v>04/2024</v>
      </c>
    </row>
    <row r="122" spans="1:4">
      <c r="A122" s="24">
        <v>45407</v>
      </c>
      <c r="B122" s="20">
        <v>1</v>
      </c>
      <c r="D122" t="str">
        <f>TEXT(A121, "mm/yyyy")</f>
        <v>04/2024</v>
      </c>
    </row>
    <row r="123" spans="1:4">
      <c r="A123" s="24">
        <v>45408</v>
      </c>
      <c r="B123" s="20">
        <v>1</v>
      </c>
      <c r="D123" t="str">
        <f>TEXT(A122, "mm/yyyy")</f>
        <v>04/2024</v>
      </c>
    </row>
    <row r="124" spans="1:4">
      <c r="A124" s="24">
        <v>45409</v>
      </c>
      <c r="B124" s="20">
        <v>1</v>
      </c>
      <c r="D124" t="str">
        <f>TEXT(A123, "mm/yyyy")</f>
        <v>04/2024</v>
      </c>
    </row>
    <row r="125" spans="1:4">
      <c r="A125" s="24">
        <v>45410</v>
      </c>
      <c r="B125" s="20">
        <v>1</v>
      </c>
      <c r="D125" t="str">
        <f>TEXT(A124, "mm/yyyy")</f>
        <v>04/2024</v>
      </c>
    </row>
    <row r="126" spans="1:4">
      <c r="A126" s="24">
        <v>45411</v>
      </c>
      <c r="B126" s="20">
        <v>1</v>
      </c>
      <c r="D126" t="str">
        <f>TEXT(A125, "mm/yyyy")</f>
        <v>04/2024</v>
      </c>
    </row>
    <row r="127" spans="1:4">
      <c r="A127" s="24">
        <v>45412</v>
      </c>
      <c r="B127" s="20">
        <v>1</v>
      </c>
      <c r="D127" t="str">
        <f>TEXT(A126, "mm/yyyy")</f>
        <v>04/2024</v>
      </c>
    </row>
    <row r="128" spans="1:4">
      <c r="A128" s="24">
        <v>45413</v>
      </c>
      <c r="B128" s="20">
        <v>1</v>
      </c>
      <c r="D128" t="str">
        <f>TEXT(A127, "mm/yyyy")</f>
        <v>04/2024</v>
      </c>
    </row>
    <row r="129" spans="1:4">
      <c r="A129" s="24">
        <v>45414</v>
      </c>
      <c r="B129" s="20">
        <v>1</v>
      </c>
      <c r="D129" t="str">
        <f>TEXT(A128, "mm/yyyy")</f>
        <v>05/2024</v>
      </c>
    </row>
    <row r="130" spans="1:4">
      <c r="A130" s="24">
        <v>45415</v>
      </c>
      <c r="B130" s="20">
        <v>1</v>
      </c>
      <c r="D130" t="str">
        <f>TEXT(A129, "mm/yyyy")</f>
        <v>05/2024</v>
      </c>
    </row>
    <row r="131" spans="1:4">
      <c r="A131" s="24">
        <v>45416</v>
      </c>
      <c r="B131" s="20">
        <v>1</v>
      </c>
      <c r="D131" t="str">
        <f>TEXT(A130, "mm/yyyy")</f>
        <v>05/2024</v>
      </c>
    </row>
    <row r="132" spans="1:4">
      <c r="A132" s="24">
        <v>45417</v>
      </c>
      <c r="B132" s="20">
        <v>1</v>
      </c>
      <c r="D132" t="str">
        <f>TEXT(A131, "mm/yyyy")</f>
        <v>05/2024</v>
      </c>
    </row>
    <row r="133" spans="1:4">
      <c r="A133" s="24">
        <v>45418</v>
      </c>
      <c r="B133" s="20">
        <v>1</v>
      </c>
      <c r="D133" t="str">
        <f>TEXT(A132, "mm/yyyy")</f>
        <v>05/2024</v>
      </c>
    </row>
    <row r="134" spans="1:4">
      <c r="A134" s="24">
        <v>45419</v>
      </c>
      <c r="B134" s="20">
        <v>1</v>
      </c>
      <c r="D134" t="str">
        <f>TEXT(A133, "mm/yyyy")</f>
        <v>05/2024</v>
      </c>
    </row>
    <row r="135" spans="1:4">
      <c r="A135" s="24">
        <v>45420</v>
      </c>
      <c r="B135" s="20">
        <v>1</v>
      </c>
      <c r="D135" t="str">
        <f>TEXT(A134, "mm/yyyy")</f>
        <v>05/2024</v>
      </c>
    </row>
    <row r="136" spans="1:4">
      <c r="A136" s="24">
        <v>45421</v>
      </c>
      <c r="B136" s="20">
        <v>1</v>
      </c>
      <c r="D136" t="str">
        <f>TEXT(A135, "mm/yyyy")</f>
        <v>05/2024</v>
      </c>
    </row>
    <row r="137" spans="1:4">
      <c r="A137" s="24">
        <v>45422</v>
      </c>
      <c r="B137" s="20">
        <v>1</v>
      </c>
      <c r="D137" t="str">
        <f>TEXT(A136, "mm/yyyy")</f>
        <v>05/2024</v>
      </c>
    </row>
    <row r="138" spans="1:4">
      <c r="A138" s="24">
        <v>45423</v>
      </c>
      <c r="B138" s="20">
        <v>1</v>
      </c>
      <c r="D138" t="str">
        <f>TEXT(A137, "mm/yyyy")</f>
        <v>05/2024</v>
      </c>
    </row>
    <row r="139" spans="1:4">
      <c r="A139" s="24">
        <v>45424</v>
      </c>
      <c r="B139" s="20">
        <v>1</v>
      </c>
      <c r="D139" t="str">
        <f>TEXT(A138, "mm/yyyy")</f>
        <v>05/2024</v>
      </c>
    </row>
    <row r="140" spans="1:4">
      <c r="A140" s="24">
        <v>45425</v>
      </c>
      <c r="B140" s="20">
        <v>1</v>
      </c>
      <c r="D140" t="str">
        <f>TEXT(A139, "mm/yyyy")</f>
        <v>05/2024</v>
      </c>
    </row>
    <row r="141" spans="1:4">
      <c r="A141" s="24">
        <v>45426</v>
      </c>
      <c r="B141" s="20">
        <v>1</v>
      </c>
      <c r="D141" t="str">
        <f>TEXT(A140, "mm/yyyy")</f>
        <v>05/2024</v>
      </c>
    </row>
    <row r="142" spans="1:4">
      <c r="A142" s="24">
        <v>45427</v>
      </c>
      <c r="B142" s="20">
        <v>1</v>
      </c>
      <c r="D142" t="str">
        <f>TEXT(A141, "mm/yyyy")</f>
        <v>05/2024</v>
      </c>
    </row>
    <row r="143" spans="1:4">
      <c r="A143" s="24">
        <v>45428</v>
      </c>
      <c r="B143" s="20">
        <v>1</v>
      </c>
      <c r="D143" t="str">
        <f>TEXT(A142, "mm/yyyy")</f>
        <v>05/2024</v>
      </c>
    </row>
    <row r="144" spans="1:4">
      <c r="A144" s="24">
        <v>45429</v>
      </c>
      <c r="B144" s="20">
        <v>1</v>
      </c>
      <c r="D144" t="str">
        <f>TEXT(A143, "mm/yyyy")</f>
        <v>05/2024</v>
      </c>
    </row>
    <row r="145" spans="1:4">
      <c r="A145" s="24">
        <v>45430</v>
      </c>
      <c r="B145" s="20">
        <v>1</v>
      </c>
      <c r="D145" t="str">
        <f>TEXT(A144, "mm/yyyy")</f>
        <v>05/2024</v>
      </c>
    </row>
    <row r="146" spans="1:4">
      <c r="A146" s="24">
        <v>45431</v>
      </c>
      <c r="B146" s="20">
        <v>1</v>
      </c>
      <c r="D146" t="str">
        <f>TEXT(A145, "mm/yyyy")</f>
        <v>05/2024</v>
      </c>
    </row>
    <row r="147" spans="1:4">
      <c r="A147" s="24">
        <v>45432</v>
      </c>
      <c r="B147" s="20">
        <v>1</v>
      </c>
      <c r="D147" t="str">
        <f>TEXT(A146, "mm/yyyy")</f>
        <v>05/2024</v>
      </c>
    </row>
    <row r="148" spans="1:4">
      <c r="A148" s="24">
        <v>45433</v>
      </c>
      <c r="B148" s="20">
        <v>1</v>
      </c>
      <c r="D148" t="str">
        <f>TEXT(A147, "mm/yyyy")</f>
        <v>05/2024</v>
      </c>
    </row>
    <row r="149" spans="1:4">
      <c r="A149" s="24">
        <v>45434</v>
      </c>
      <c r="B149" s="20">
        <v>1</v>
      </c>
      <c r="D149" t="str">
        <f>TEXT(A148, "mm/yyyy")</f>
        <v>05/2024</v>
      </c>
    </row>
    <row r="150" spans="1:4">
      <c r="A150" s="24">
        <v>45435</v>
      </c>
      <c r="B150" s="20">
        <v>1</v>
      </c>
      <c r="D150" t="str">
        <f>TEXT(A149, "mm/yyyy")</f>
        <v>05/2024</v>
      </c>
    </row>
    <row r="151" spans="1:4">
      <c r="A151" s="24">
        <v>45436</v>
      </c>
      <c r="B151" s="20">
        <v>1</v>
      </c>
      <c r="D151" t="str">
        <f>TEXT(A150, "mm/yyyy")</f>
        <v>05/2024</v>
      </c>
    </row>
    <row r="152" spans="1:4">
      <c r="A152" s="24">
        <v>45437</v>
      </c>
      <c r="B152" s="20">
        <v>1</v>
      </c>
      <c r="D152" t="str">
        <f>TEXT(A151, "mm/yyyy")</f>
        <v>05/2024</v>
      </c>
    </row>
    <row r="153" spans="1:4">
      <c r="A153" s="24">
        <v>45438</v>
      </c>
      <c r="B153" s="20">
        <v>1</v>
      </c>
      <c r="D153" t="str">
        <f>TEXT(A152, "mm/yyyy")</f>
        <v>05/2024</v>
      </c>
    </row>
    <row r="154" spans="1:4">
      <c r="A154" s="24">
        <v>45439</v>
      </c>
      <c r="B154" s="20">
        <v>1</v>
      </c>
      <c r="D154" t="str">
        <f>TEXT(A153, "mm/yyyy")</f>
        <v>05/2024</v>
      </c>
    </row>
    <row r="155" spans="1:4">
      <c r="A155" s="24">
        <v>45440</v>
      </c>
      <c r="B155" s="20">
        <v>1</v>
      </c>
      <c r="D155" t="str">
        <f>TEXT(A154, "mm/yyyy")</f>
        <v>05/2024</v>
      </c>
    </row>
    <row r="156" spans="1:4">
      <c r="A156" s="24">
        <v>45441</v>
      </c>
      <c r="B156" s="20">
        <v>1</v>
      </c>
      <c r="D156" t="str">
        <f>TEXT(A155, "mm/yyyy")</f>
        <v>05/2024</v>
      </c>
    </row>
    <row r="157" spans="1:4">
      <c r="A157" s="24">
        <v>45442</v>
      </c>
      <c r="B157" s="20">
        <v>1</v>
      </c>
      <c r="D157" t="str">
        <f>TEXT(A156, "mm/yyyy")</f>
        <v>05/2024</v>
      </c>
    </row>
    <row r="158" spans="1:4">
      <c r="A158" s="24">
        <v>45443</v>
      </c>
      <c r="B158" s="20">
        <v>1</v>
      </c>
      <c r="D158" t="str">
        <f>TEXT(A157, "mm/yyyy")</f>
        <v>05/2024</v>
      </c>
    </row>
    <row r="159" spans="1:4">
      <c r="A159" s="24">
        <v>45444</v>
      </c>
      <c r="B159" s="20">
        <v>1</v>
      </c>
      <c r="D159" t="str">
        <f>TEXT(A158, "mm/yyyy")</f>
        <v>05/2024</v>
      </c>
    </row>
    <row r="160" spans="1:4">
      <c r="A160" s="24">
        <v>45445</v>
      </c>
      <c r="B160" s="20">
        <v>1</v>
      </c>
      <c r="D160" t="str">
        <f>TEXT(A159, "mm/yyyy")</f>
        <v>06/2024</v>
      </c>
    </row>
    <row r="161" spans="1:4">
      <c r="A161" s="24">
        <v>45446</v>
      </c>
      <c r="B161" s="20">
        <v>1</v>
      </c>
      <c r="D161" t="str">
        <f>TEXT(A160, "mm/yyyy")</f>
        <v>06/2024</v>
      </c>
    </row>
    <row r="162" spans="1:4">
      <c r="A162" s="24">
        <v>45447</v>
      </c>
      <c r="B162" s="20">
        <v>1</v>
      </c>
      <c r="D162" t="str">
        <f>TEXT(A161, "mm/yyyy")</f>
        <v>06/2024</v>
      </c>
    </row>
    <row r="163" spans="1:4">
      <c r="A163" s="24">
        <v>45448</v>
      </c>
      <c r="B163" s="20">
        <v>1</v>
      </c>
      <c r="D163" t="str">
        <f>TEXT(A162, "mm/yyyy")</f>
        <v>06/2024</v>
      </c>
    </row>
    <row r="164" spans="1:4">
      <c r="A164" s="24">
        <v>45449</v>
      </c>
      <c r="B164" s="20">
        <v>1</v>
      </c>
      <c r="D164" t="str">
        <f>TEXT(A163, "mm/yyyy")</f>
        <v>06/2024</v>
      </c>
    </row>
    <row r="165" spans="1:4">
      <c r="A165" s="24">
        <v>45450</v>
      </c>
      <c r="B165" s="20">
        <v>1</v>
      </c>
      <c r="D165" t="str">
        <f>TEXT(A164, "mm/yyyy")</f>
        <v>06/2024</v>
      </c>
    </row>
    <row r="166" spans="1:4">
      <c r="A166" s="24">
        <v>45451</v>
      </c>
      <c r="B166" s="20">
        <v>1</v>
      </c>
      <c r="D166" t="str">
        <f>TEXT(A165, "mm/yyyy")</f>
        <v>06/2024</v>
      </c>
    </row>
    <row r="167" spans="1:4">
      <c r="A167" s="24">
        <v>45452</v>
      </c>
      <c r="B167" s="20">
        <v>1</v>
      </c>
      <c r="D167" t="str">
        <f>TEXT(A166, "mm/yyyy")</f>
        <v>06/2024</v>
      </c>
    </row>
    <row r="168" spans="1:4">
      <c r="A168" s="24">
        <v>45453</v>
      </c>
      <c r="B168" s="20">
        <v>1</v>
      </c>
      <c r="D168" t="str">
        <f>TEXT(A167, "mm/yyyy")</f>
        <v>06/2024</v>
      </c>
    </row>
    <row r="169" spans="1:4">
      <c r="A169" s="24">
        <v>45454</v>
      </c>
      <c r="B169" s="20">
        <v>1</v>
      </c>
      <c r="D169" t="str">
        <f>TEXT(A168, "mm/yyyy")</f>
        <v>06/2024</v>
      </c>
    </row>
    <row r="170" spans="1:4">
      <c r="A170" s="24">
        <v>45455</v>
      </c>
      <c r="B170" s="20">
        <v>1</v>
      </c>
      <c r="D170" t="str">
        <f>TEXT(A169, "mm/yyyy")</f>
        <v>06/2024</v>
      </c>
    </row>
    <row r="171" spans="1:4">
      <c r="A171" s="24">
        <v>45456</v>
      </c>
      <c r="B171" s="20">
        <v>1</v>
      </c>
      <c r="D171" t="str">
        <f>TEXT(A170, "mm/yyyy")</f>
        <v>06/2024</v>
      </c>
    </row>
    <row r="172" spans="1:4">
      <c r="A172" s="24">
        <v>45457</v>
      </c>
      <c r="B172" s="20">
        <v>1</v>
      </c>
      <c r="D172" t="str">
        <f>TEXT(A171, "mm/yyyy")</f>
        <v>06/2024</v>
      </c>
    </row>
    <row r="173" spans="1:4">
      <c r="A173" s="24">
        <v>45458</v>
      </c>
      <c r="B173" s="20">
        <v>1</v>
      </c>
      <c r="D173" t="str">
        <f>TEXT(A172, "mm/yyyy")</f>
        <v>06/2024</v>
      </c>
    </row>
    <row r="174" spans="1:4">
      <c r="A174" s="24">
        <v>45459</v>
      </c>
      <c r="B174" s="20">
        <v>1</v>
      </c>
      <c r="D174" t="str">
        <f>TEXT(A173, "mm/yyyy")</f>
        <v>06/2024</v>
      </c>
    </row>
    <row r="175" spans="1:4">
      <c r="A175" s="24">
        <v>45460</v>
      </c>
      <c r="B175" s="20">
        <v>1</v>
      </c>
      <c r="D175" t="str">
        <f>TEXT(A174, "mm/yyyy")</f>
        <v>06/2024</v>
      </c>
    </row>
    <row r="176" spans="1:4">
      <c r="A176" s="24">
        <v>45461</v>
      </c>
      <c r="B176" s="20">
        <v>1</v>
      </c>
      <c r="D176" t="str">
        <f>TEXT(A175, "mm/yyyy")</f>
        <v>06/2024</v>
      </c>
    </row>
    <row r="177" spans="1:4">
      <c r="A177" s="24">
        <v>45462</v>
      </c>
      <c r="B177" s="20">
        <v>1</v>
      </c>
      <c r="D177" t="str">
        <f>TEXT(A176, "mm/yyyy")</f>
        <v>06/2024</v>
      </c>
    </row>
    <row r="178" spans="1:4">
      <c r="A178" s="24">
        <v>45463</v>
      </c>
      <c r="B178" s="20">
        <v>1</v>
      </c>
      <c r="D178" t="str">
        <f>TEXT(A177, "mm/yyyy")</f>
        <v>06/2024</v>
      </c>
    </row>
    <row r="179" spans="1:4">
      <c r="A179" s="24">
        <v>45464</v>
      </c>
      <c r="B179" s="20">
        <v>1</v>
      </c>
      <c r="D179" t="str">
        <f>TEXT(A178, "mm/yyyy")</f>
        <v>06/2024</v>
      </c>
    </row>
    <row r="180" spans="1:4">
      <c r="A180" s="24">
        <v>45465</v>
      </c>
      <c r="B180" s="20">
        <v>1</v>
      </c>
      <c r="D180" t="str">
        <f>TEXT(A179, "mm/yyyy")</f>
        <v>06/2024</v>
      </c>
    </row>
    <row r="181" spans="1:4">
      <c r="A181" s="24">
        <v>45466</v>
      </c>
      <c r="B181" s="20">
        <v>1</v>
      </c>
      <c r="D181" t="str">
        <f>TEXT(A180, "mm/yyyy")</f>
        <v>06/2024</v>
      </c>
    </row>
    <row r="182" spans="1:4">
      <c r="A182" s="24">
        <v>45467</v>
      </c>
      <c r="B182" s="20">
        <v>1</v>
      </c>
      <c r="D182" t="str">
        <f>TEXT(A181, "mm/yyyy")</f>
        <v>06/2024</v>
      </c>
    </row>
    <row r="183" spans="1:4">
      <c r="A183" s="24">
        <v>45468</v>
      </c>
      <c r="B183" s="20">
        <v>1</v>
      </c>
      <c r="D183" t="str">
        <f>TEXT(A182, "mm/yyyy")</f>
        <v>06/2024</v>
      </c>
    </row>
    <row r="184" spans="1:4">
      <c r="A184" s="24">
        <v>45469</v>
      </c>
      <c r="B184" s="20">
        <v>1</v>
      </c>
      <c r="D184" t="str">
        <f>TEXT(A183, "mm/yyyy")</f>
        <v>06/2024</v>
      </c>
    </row>
    <row r="185" spans="1:4">
      <c r="A185" s="24">
        <v>45470</v>
      </c>
      <c r="B185" s="20">
        <v>1</v>
      </c>
      <c r="D185" t="str">
        <f>TEXT(A184, "mm/yyyy")</f>
        <v>06/2024</v>
      </c>
    </row>
    <row r="186" spans="1:4">
      <c r="A186" s="24">
        <v>45471</v>
      </c>
      <c r="B186" s="20">
        <v>1</v>
      </c>
      <c r="D186" t="str">
        <f>TEXT(A185, "mm/yyyy")</f>
        <v>06/2024</v>
      </c>
    </row>
    <row r="187" spans="1:4">
      <c r="A187" s="24">
        <v>45472</v>
      </c>
      <c r="B187" s="20">
        <v>1</v>
      </c>
      <c r="D187" t="str">
        <f>TEXT(A186, "mm/yyyy")</f>
        <v>06/2024</v>
      </c>
    </row>
    <row r="188" spans="1:4">
      <c r="A188" s="24">
        <v>45473</v>
      </c>
      <c r="B188" s="20">
        <v>1</v>
      </c>
      <c r="D188" t="str">
        <f>TEXT(A187, "mm/yyyy")</f>
        <v>06/2024</v>
      </c>
    </row>
    <row r="189" spans="1:4">
      <c r="A189" s="24">
        <v>45474</v>
      </c>
      <c r="B189" s="20">
        <v>1</v>
      </c>
      <c r="D189" t="str">
        <f>TEXT(A188, "mm/yyyy")</f>
        <v>06/2024</v>
      </c>
    </row>
    <row r="190" spans="1:4">
      <c r="A190" s="24">
        <v>45475</v>
      </c>
      <c r="B190" s="20">
        <v>1</v>
      </c>
      <c r="D190" t="str">
        <f>TEXT(A189, "mm/yyyy")</f>
        <v>07/2024</v>
      </c>
    </row>
    <row r="191" spans="1:4">
      <c r="A191" s="24">
        <v>45476</v>
      </c>
      <c r="B191" s="20">
        <v>1</v>
      </c>
      <c r="D191" t="str">
        <f>TEXT(A190, "mm/yyyy")</f>
        <v>07/2024</v>
      </c>
    </row>
    <row r="192" spans="1:4">
      <c r="A192" s="24">
        <v>45477</v>
      </c>
      <c r="B192" s="20">
        <v>1</v>
      </c>
      <c r="D192" t="str">
        <f>TEXT(A191, "mm/yyyy")</f>
        <v>07/2024</v>
      </c>
    </row>
    <row r="193" spans="1:4">
      <c r="A193" s="24">
        <v>45478</v>
      </c>
      <c r="B193" s="20">
        <v>1</v>
      </c>
      <c r="D193" t="str">
        <f>TEXT(A192, "mm/yyyy")</f>
        <v>07/2024</v>
      </c>
    </row>
    <row r="194" spans="1:4">
      <c r="A194" s="24">
        <v>45479</v>
      </c>
      <c r="B194" s="20">
        <v>1</v>
      </c>
      <c r="D194" t="str">
        <f>TEXT(A193, "mm/yyyy")</f>
        <v>07/2024</v>
      </c>
    </row>
    <row r="195" spans="1:4">
      <c r="A195" s="24">
        <v>45480</v>
      </c>
      <c r="B195" s="20">
        <v>1</v>
      </c>
      <c r="D195" t="str">
        <f>TEXT(A194, "mm/yyyy")</f>
        <v>07/2024</v>
      </c>
    </row>
    <row r="196" spans="1:4">
      <c r="A196" s="24">
        <v>45481</v>
      </c>
      <c r="B196" s="20">
        <v>1</v>
      </c>
      <c r="D196" t="str">
        <f>TEXT(A195, "mm/yyyy")</f>
        <v>07/2024</v>
      </c>
    </row>
    <row r="197" spans="1:4">
      <c r="A197" s="24">
        <v>45482</v>
      </c>
      <c r="B197" s="20">
        <v>1</v>
      </c>
      <c r="D197" t="str">
        <f>TEXT(A196, "mm/yyyy")</f>
        <v>07/2024</v>
      </c>
    </row>
    <row r="198" spans="1:4">
      <c r="A198" s="24">
        <v>45483</v>
      </c>
      <c r="B198" s="20">
        <v>1</v>
      </c>
      <c r="D198" t="str">
        <f>TEXT(A197, "mm/yyyy")</f>
        <v>07/2024</v>
      </c>
    </row>
    <row r="199" spans="1:4">
      <c r="A199" s="24">
        <v>45484</v>
      </c>
      <c r="B199" s="20">
        <v>1</v>
      </c>
      <c r="D199" t="str">
        <f>TEXT(A198, "mm/yyyy")</f>
        <v>07/2024</v>
      </c>
    </row>
    <row r="200" spans="1:4">
      <c r="A200" s="24">
        <v>45485</v>
      </c>
      <c r="B200" s="20">
        <v>1</v>
      </c>
      <c r="D200" t="str">
        <f>TEXT(A199, "mm/yyyy")</f>
        <v>07/2024</v>
      </c>
    </row>
    <row r="201" spans="1:4">
      <c r="A201" s="24">
        <v>45486</v>
      </c>
      <c r="B201" s="20">
        <v>1</v>
      </c>
      <c r="D201" t="str">
        <f>TEXT(A200, "mm/yyyy")</f>
        <v>07/2024</v>
      </c>
    </row>
    <row r="202" spans="1:4">
      <c r="A202" s="24">
        <v>45487</v>
      </c>
      <c r="B202" s="20">
        <v>1</v>
      </c>
      <c r="D202" t="str">
        <f>TEXT(A201, "mm/yyyy")</f>
        <v>07/2024</v>
      </c>
    </row>
    <row r="203" spans="1:4">
      <c r="A203" s="24">
        <v>45488</v>
      </c>
      <c r="B203" s="20">
        <v>1</v>
      </c>
      <c r="D203" t="str">
        <f>TEXT(A202, "mm/yyyy")</f>
        <v>07/2024</v>
      </c>
    </row>
    <row r="204" spans="1:4">
      <c r="A204" s="24">
        <v>45489</v>
      </c>
      <c r="B204" s="20">
        <v>1</v>
      </c>
      <c r="D204" t="str">
        <f>TEXT(A203, "mm/yyyy")</f>
        <v>07/2024</v>
      </c>
    </row>
    <row r="205" spans="1:4">
      <c r="A205" s="24">
        <v>45490</v>
      </c>
      <c r="B205" s="20">
        <v>1</v>
      </c>
      <c r="D205" t="str">
        <f>TEXT(A204, "mm/yyyy")</f>
        <v>07/2024</v>
      </c>
    </row>
    <row r="206" spans="1:4">
      <c r="A206" s="24">
        <v>45491</v>
      </c>
      <c r="B206" s="20">
        <v>1</v>
      </c>
      <c r="D206" t="str">
        <f>TEXT(A205, "mm/yyyy")</f>
        <v>07/2024</v>
      </c>
    </row>
    <row r="207" spans="1:4">
      <c r="A207" s="24">
        <v>45492</v>
      </c>
      <c r="B207" s="20">
        <v>1</v>
      </c>
      <c r="D207" t="str">
        <f>TEXT(A206, "mm/yyyy")</f>
        <v>07/2024</v>
      </c>
    </row>
    <row r="208" spans="1:4">
      <c r="A208" s="24">
        <v>45493</v>
      </c>
      <c r="B208" s="20">
        <v>1</v>
      </c>
      <c r="D208" t="str">
        <f>TEXT(A207, "mm/yyyy")</f>
        <v>07/2024</v>
      </c>
    </row>
    <row r="209" spans="1:4">
      <c r="A209" s="24">
        <v>45494</v>
      </c>
      <c r="B209" s="20">
        <v>1</v>
      </c>
      <c r="D209" t="str">
        <f>TEXT(A208, "mm/yyyy")</f>
        <v>07/2024</v>
      </c>
    </row>
    <row r="210" spans="1:4">
      <c r="A210" s="24">
        <v>45495</v>
      </c>
      <c r="B210" s="20">
        <v>1</v>
      </c>
      <c r="D210" t="str">
        <f>TEXT(A209, "mm/yyyy")</f>
        <v>07/2024</v>
      </c>
    </row>
    <row r="211" spans="1:4">
      <c r="A211" s="24">
        <v>45496</v>
      </c>
      <c r="B211" s="20">
        <v>1</v>
      </c>
      <c r="D211" t="str">
        <f>TEXT(A210, "mm/yyyy")</f>
        <v>07/2024</v>
      </c>
    </row>
    <row r="212" spans="1:4">
      <c r="A212" s="24">
        <v>45497</v>
      </c>
      <c r="B212" s="20">
        <v>1</v>
      </c>
      <c r="D212" t="str">
        <f>TEXT(A211, "mm/yyyy")</f>
        <v>07/2024</v>
      </c>
    </row>
    <row r="213" spans="1:4">
      <c r="A213" s="24">
        <v>45498</v>
      </c>
      <c r="B213" s="20">
        <v>1</v>
      </c>
      <c r="D213" t="str">
        <f>TEXT(A212, "mm/yyyy")</f>
        <v>07/2024</v>
      </c>
    </row>
    <row r="214" spans="1:4">
      <c r="A214" s="24">
        <v>45499</v>
      </c>
      <c r="B214" s="20">
        <v>1</v>
      </c>
      <c r="D214" t="str">
        <f>TEXT(A213, "mm/yyyy")</f>
        <v>07/2024</v>
      </c>
    </row>
    <row r="215" spans="1:4">
      <c r="A215" s="24">
        <v>45500</v>
      </c>
      <c r="B215" s="20">
        <v>1</v>
      </c>
      <c r="D215" t="str">
        <f>TEXT(A214, "mm/yyyy")</f>
        <v>07/2024</v>
      </c>
    </row>
    <row r="216" spans="1:4">
      <c r="A216" s="24">
        <v>45501</v>
      </c>
      <c r="B216" s="20">
        <v>1</v>
      </c>
      <c r="D216" t="str">
        <f>TEXT(A215, "mm/yyyy")</f>
        <v>07/2024</v>
      </c>
    </row>
    <row r="217" spans="1:4">
      <c r="A217" s="24">
        <v>45502</v>
      </c>
      <c r="B217" s="20">
        <v>1</v>
      </c>
      <c r="D217" t="str">
        <f>TEXT(A216, "mm/yyyy")</f>
        <v>07/2024</v>
      </c>
    </row>
    <row r="218" spans="1:4">
      <c r="A218" s="24">
        <v>45503</v>
      </c>
      <c r="B218" s="20">
        <v>1</v>
      </c>
      <c r="D218" t="str">
        <f>TEXT(A217, "mm/yyyy")</f>
        <v>07/2024</v>
      </c>
    </row>
    <row r="219" spans="1:4">
      <c r="A219" s="24">
        <v>45504</v>
      </c>
      <c r="B219" s="20">
        <v>1</v>
      </c>
      <c r="D219" t="str">
        <f>TEXT(A218, "mm/yyyy")</f>
        <v>07/2024</v>
      </c>
    </row>
    <row r="220" spans="1:4">
      <c r="A220" s="24">
        <v>45505</v>
      </c>
      <c r="B220" s="20">
        <v>1</v>
      </c>
      <c r="D220" t="str">
        <f>TEXT(A219, "mm/yyyy")</f>
        <v>07/2024</v>
      </c>
    </row>
    <row r="221" spans="1:4">
      <c r="A221" s="24">
        <v>45506</v>
      </c>
      <c r="B221" s="20">
        <v>1</v>
      </c>
      <c r="D221" t="str">
        <f>TEXT(A220, "mm/yyyy")</f>
        <v>08/2024</v>
      </c>
    </row>
    <row r="222" spans="1:4">
      <c r="A222" s="24">
        <v>45507</v>
      </c>
      <c r="B222" s="20">
        <v>1</v>
      </c>
      <c r="D222" t="str">
        <f>TEXT(A221, "mm/yyyy")</f>
        <v>08/2024</v>
      </c>
    </row>
    <row r="223" spans="1:4">
      <c r="A223" s="24">
        <v>45508</v>
      </c>
      <c r="B223" s="20">
        <v>1</v>
      </c>
      <c r="D223" t="str">
        <f>TEXT(A222, "mm/yyyy")</f>
        <v>08/2024</v>
      </c>
    </row>
    <row r="224" spans="1:4">
      <c r="A224" s="24">
        <v>45509</v>
      </c>
      <c r="B224" s="20">
        <v>1</v>
      </c>
      <c r="D224" t="str">
        <f>TEXT(A223, "mm/yyyy")</f>
        <v>08/2024</v>
      </c>
    </row>
    <row r="225" spans="1:4">
      <c r="A225" s="24">
        <v>45510</v>
      </c>
      <c r="B225" s="20">
        <v>1</v>
      </c>
      <c r="D225" t="str">
        <f>TEXT(A224, "mm/yyyy")</f>
        <v>08/2024</v>
      </c>
    </row>
    <row r="226" spans="1:4">
      <c r="A226" s="24">
        <v>45511</v>
      </c>
      <c r="B226" s="20">
        <v>1</v>
      </c>
      <c r="D226" t="str">
        <f>TEXT(A225, "mm/yyyy")</f>
        <v>08/2024</v>
      </c>
    </row>
    <row r="227" spans="1:4">
      <c r="A227" s="24">
        <v>45512</v>
      </c>
      <c r="B227" s="20">
        <v>1</v>
      </c>
      <c r="D227" t="str">
        <f>TEXT(A226, "mm/yyyy")</f>
        <v>08/2024</v>
      </c>
    </row>
    <row r="228" spans="1:4">
      <c r="A228" s="24">
        <v>45513</v>
      </c>
      <c r="B228" s="20">
        <v>1</v>
      </c>
      <c r="D228" t="str">
        <f>TEXT(A227, "mm/yyyy")</f>
        <v>08/2024</v>
      </c>
    </row>
    <row r="229" spans="1:4">
      <c r="A229" s="24">
        <v>45514</v>
      </c>
      <c r="B229" s="20">
        <v>1</v>
      </c>
      <c r="D229" t="str">
        <f>TEXT(A228, "mm/yyyy")</f>
        <v>08/2024</v>
      </c>
    </row>
    <row r="230" spans="1:4">
      <c r="A230" s="24">
        <v>45515</v>
      </c>
      <c r="B230" s="20">
        <v>1</v>
      </c>
      <c r="D230" t="str">
        <f>TEXT(A229, "mm/yyyy")</f>
        <v>08/2024</v>
      </c>
    </row>
    <row r="231" spans="1:4">
      <c r="A231" s="24">
        <v>45516</v>
      </c>
      <c r="B231" s="20">
        <v>1</v>
      </c>
      <c r="D231" t="str">
        <f>TEXT(A230, "mm/yyyy")</f>
        <v>08/2024</v>
      </c>
    </row>
    <row r="232" spans="1:4">
      <c r="A232" s="24">
        <v>45517</v>
      </c>
      <c r="B232" s="20">
        <v>1</v>
      </c>
      <c r="D232" t="str">
        <f>TEXT(A231, "mm/yyyy")</f>
        <v>08/2024</v>
      </c>
    </row>
    <row r="233" spans="1:4">
      <c r="A233" s="24">
        <v>45518</v>
      </c>
      <c r="B233" s="20">
        <v>1</v>
      </c>
      <c r="D233" t="str">
        <f>TEXT(A232, "mm/yyyy")</f>
        <v>08/2024</v>
      </c>
    </row>
    <row r="234" spans="1:4">
      <c r="A234" s="24">
        <v>45519</v>
      </c>
      <c r="B234" s="20">
        <v>1</v>
      </c>
      <c r="D234" t="str">
        <f>TEXT(A233, "mm/yyyy")</f>
        <v>08/2024</v>
      </c>
    </row>
    <row r="235" spans="1:4">
      <c r="A235" s="24">
        <v>45520</v>
      </c>
      <c r="B235" s="20">
        <v>1</v>
      </c>
      <c r="D235" t="str">
        <f>TEXT(A234, "mm/yyyy")</f>
        <v>08/2024</v>
      </c>
    </row>
    <row r="236" spans="1:4">
      <c r="A236" s="24">
        <v>45521</v>
      </c>
      <c r="B236" s="20">
        <v>1</v>
      </c>
      <c r="D236" t="str">
        <f>TEXT(A235, "mm/yyyy")</f>
        <v>08/2024</v>
      </c>
    </row>
    <row r="237" spans="1:4">
      <c r="A237" s="24">
        <v>45522</v>
      </c>
      <c r="B237" s="20">
        <v>1</v>
      </c>
      <c r="D237" t="str">
        <f>TEXT(A236, "mm/yyyy")</f>
        <v>08/2024</v>
      </c>
    </row>
    <row r="238" spans="1:4">
      <c r="A238" s="24">
        <v>45523</v>
      </c>
      <c r="B238" s="20">
        <v>1</v>
      </c>
      <c r="D238" t="str">
        <f>TEXT(A237, "mm/yyyy")</f>
        <v>08/2024</v>
      </c>
    </row>
    <row r="239" spans="1:4">
      <c r="A239" s="24">
        <v>45524</v>
      </c>
      <c r="B239" s="20">
        <v>1</v>
      </c>
      <c r="D239" t="str">
        <f>TEXT(A238, "mm/yyyy")</f>
        <v>08/2024</v>
      </c>
    </row>
    <row r="240" spans="1:4">
      <c r="A240" s="24">
        <v>45525</v>
      </c>
      <c r="B240" s="20">
        <v>1</v>
      </c>
      <c r="D240" t="str">
        <f>TEXT(A239, "mm/yyyy")</f>
        <v>08/2024</v>
      </c>
    </row>
    <row r="241" spans="1:4">
      <c r="A241" s="24">
        <v>45526</v>
      </c>
      <c r="B241" s="20">
        <v>1</v>
      </c>
      <c r="D241" t="str">
        <f>TEXT(A240, "mm/yyyy")</f>
        <v>08/2024</v>
      </c>
    </row>
    <row r="242" spans="1:4">
      <c r="A242" s="24">
        <v>45527</v>
      </c>
      <c r="B242" s="20">
        <v>1</v>
      </c>
      <c r="D242" t="str">
        <f>TEXT(A241, "mm/yyyy")</f>
        <v>08/2024</v>
      </c>
    </row>
    <row r="243" spans="1:4">
      <c r="A243" s="24">
        <v>45528</v>
      </c>
      <c r="B243" s="20">
        <v>1</v>
      </c>
      <c r="D243" t="str">
        <f>TEXT(A242, "mm/yyyy")</f>
        <v>08/2024</v>
      </c>
    </row>
    <row r="244" spans="1:4">
      <c r="A244" s="24">
        <v>45529</v>
      </c>
      <c r="B244" s="20">
        <v>1</v>
      </c>
      <c r="D244" t="str">
        <f>TEXT(A243, "mm/yyyy")</f>
        <v>08/2024</v>
      </c>
    </row>
    <row r="245" spans="1:4">
      <c r="A245" s="24">
        <v>45530</v>
      </c>
      <c r="B245" s="20">
        <v>1</v>
      </c>
      <c r="D245" t="str">
        <f>TEXT(A244, "mm/yyyy")</f>
        <v>08/2024</v>
      </c>
    </row>
    <row r="246" spans="1:4">
      <c r="A246" s="24">
        <v>45531</v>
      </c>
      <c r="B246" s="20">
        <v>1</v>
      </c>
      <c r="D246" t="str">
        <f>TEXT(A245, "mm/yyyy")</f>
        <v>08/2024</v>
      </c>
    </row>
    <row r="247" spans="1:4">
      <c r="A247" s="24">
        <v>45532</v>
      </c>
      <c r="B247" s="20">
        <v>1</v>
      </c>
      <c r="D247" t="str">
        <f>TEXT(A246, "mm/yyyy")</f>
        <v>08/2024</v>
      </c>
    </row>
    <row r="248" spans="1:4">
      <c r="A248" s="24">
        <v>45533</v>
      </c>
      <c r="B248" s="20">
        <v>1</v>
      </c>
      <c r="D248" t="str">
        <f>TEXT(A247, "mm/yyyy")</f>
        <v>08/2024</v>
      </c>
    </row>
    <row r="249" spans="1:4">
      <c r="A249" s="24">
        <v>45534</v>
      </c>
      <c r="B249" s="20">
        <v>1</v>
      </c>
      <c r="D249" t="str">
        <f>TEXT(A248, "mm/yyyy")</f>
        <v>08/2024</v>
      </c>
    </row>
    <row r="250" spans="1:4">
      <c r="A250" s="24">
        <v>45535</v>
      </c>
      <c r="B250" s="20">
        <v>1</v>
      </c>
      <c r="D250" t="str">
        <f>TEXT(A249, "mm/yyyy")</f>
        <v>08/2024</v>
      </c>
    </row>
    <row r="251" spans="1:4">
      <c r="A251" s="24">
        <v>45536</v>
      </c>
      <c r="B251" s="20">
        <v>1</v>
      </c>
      <c r="D251" t="str">
        <f>TEXT(A250, "mm/yyyy")</f>
        <v>08/2024</v>
      </c>
    </row>
    <row r="252" spans="1:4">
      <c r="A252" s="24">
        <v>45537</v>
      </c>
      <c r="B252" s="20">
        <v>1</v>
      </c>
      <c r="D252" t="str">
        <f>TEXT(A251, "mm/yyyy")</f>
        <v>09/2024</v>
      </c>
    </row>
    <row r="253" spans="1:4">
      <c r="A253" s="24">
        <v>45538</v>
      </c>
      <c r="B253" s="20">
        <v>1</v>
      </c>
      <c r="D253" t="str">
        <f>TEXT(A252, "mm/yyyy")</f>
        <v>09/2024</v>
      </c>
    </row>
    <row r="254" spans="1:4">
      <c r="A254" s="24">
        <v>45539</v>
      </c>
      <c r="B254" s="20">
        <v>1</v>
      </c>
      <c r="D254" t="str">
        <f>TEXT(A253, "mm/yyyy")</f>
        <v>09/2024</v>
      </c>
    </row>
    <row r="255" spans="1:4">
      <c r="A255" s="24">
        <v>45540</v>
      </c>
      <c r="B255" s="20">
        <v>1</v>
      </c>
      <c r="D255" t="str">
        <f>TEXT(A254, "mm/yyyy")</f>
        <v>09/2024</v>
      </c>
    </row>
    <row r="256" spans="1:4">
      <c r="A256" s="24">
        <v>45541</v>
      </c>
      <c r="B256" s="20">
        <v>1</v>
      </c>
      <c r="D256" t="str">
        <f>TEXT(A255, "mm/yyyy")</f>
        <v>09/2024</v>
      </c>
    </row>
    <row r="257" spans="1:4">
      <c r="A257" s="24">
        <v>45542</v>
      </c>
      <c r="B257" s="20">
        <v>1</v>
      </c>
      <c r="D257" t="str">
        <f>TEXT(A256, "mm/yyyy")</f>
        <v>09/2024</v>
      </c>
    </row>
    <row r="258" spans="1:4">
      <c r="A258" s="24">
        <v>45543</v>
      </c>
      <c r="B258" s="20">
        <v>1</v>
      </c>
      <c r="D258" t="str">
        <f>TEXT(A257, "mm/yyyy")</f>
        <v>09/2024</v>
      </c>
    </row>
    <row r="259" spans="1:4">
      <c r="A259" s="24">
        <v>45544</v>
      </c>
      <c r="B259" s="20">
        <v>1</v>
      </c>
      <c r="D259" t="str">
        <f>TEXT(A258, "mm/yyyy")</f>
        <v>09/2024</v>
      </c>
    </row>
    <row r="260" spans="1:4">
      <c r="A260" s="24">
        <v>45545</v>
      </c>
      <c r="B260" s="20">
        <v>1</v>
      </c>
      <c r="D260" t="str">
        <f>TEXT(A259, "mm/yyyy")</f>
        <v>09/2024</v>
      </c>
    </row>
    <row r="261" spans="1:4">
      <c r="A261" s="24">
        <v>45546</v>
      </c>
      <c r="B261" s="20">
        <v>1</v>
      </c>
      <c r="D261" t="str">
        <f>TEXT(A260, "mm/yyyy")</f>
        <v>09/2024</v>
      </c>
    </row>
    <row r="262" spans="1:4">
      <c r="A262" s="24">
        <v>45547</v>
      </c>
      <c r="B262" s="20">
        <v>1</v>
      </c>
      <c r="D262" t="str">
        <f>TEXT(A261, "mm/yyyy")</f>
        <v>09/2024</v>
      </c>
    </row>
    <row r="263" spans="1:4">
      <c r="A263" s="24">
        <v>45548</v>
      </c>
      <c r="B263" s="20">
        <v>1</v>
      </c>
      <c r="D263" t="str">
        <f>TEXT(A262, "mm/yyyy")</f>
        <v>09/2024</v>
      </c>
    </row>
    <row r="264" spans="1:4">
      <c r="A264" s="24">
        <v>45549</v>
      </c>
      <c r="B264" s="20">
        <v>1</v>
      </c>
      <c r="D264" t="str">
        <f>TEXT(A263, "mm/yyyy")</f>
        <v>09/2024</v>
      </c>
    </row>
    <row r="265" spans="1:4">
      <c r="A265" s="24">
        <v>45550</v>
      </c>
      <c r="B265" s="20">
        <v>1</v>
      </c>
      <c r="D265" t="str">
        <f>TEXT(A264, "mm/yyyy")</f>
        <v>09/2024</v>
      </c>
    </row>
    <row r="266" spans="1:4">
      <c r="A266" s="24">
        <v>45551</v>
      </c>
      <c r="B266" s="20">
        <v>1</v>
      </c>
      <c r="D266" t="str">
        <f>TEXT(A265, "mm/yyyy")</f>
        <v>09/2024</v>
      </c>
    </row>
    <row r="267" spans="1:4">
      <c r="A267" s="24">
        <v>45552</v>
      </c>
      <c r="B267" s="20">
        <v>1</v>
      </c>
      <c r="D267" t="str">
        <f>TEXT(A266, "mm/yyyy")</f>
        <v>09/2024</v>
      </c>
    </row>
    <row r="268" spans="1:4">
      <c r="A268" s="24">
        <v>45553</v>
      </c>
      <c r="B268" s="20">
        <v>1</v>
      </c>
      <c r="D268" t="str">
        <f>TEXT(A267, "mm/yyyy")</f>
        <v>09/2024</v>
      </c>
    </row>
    <row r="269" spans="1:4">
      <c r="A269" s="24">
        <v>45554</v>
      </c>
      <c r="B269" s="20">
        <v>1</v>
      </c>
      <c r="D269" t="str">
        <f>TEXT(A268, "mm/yyyy")</f>
        <v>09/2024</v>
      </c>
    </row>
    <row r="270" spans="1:4">
      <c r="A270" s="24">
        <v>45555</v>
      </c>
      <c r="B270" s="20">
        <v>1</v>
      </c>
      <c r="D270" t="str">
        <f>TEXT(A269, "mm/yyyy")</f>
        <v>09/2024</v>
      </c>
    </row>
    <row r="271" spans="1:4">
      <c r="A271" s="24">
        <v>45556</v>
      </c>
      <c r="B271" s="20">
        <v>1</v>
      </c>
      <c r="D271" t="str">
        <f>TEXT(A270, "mm/yyyy")</f>
        <v>09/2024</v>
      </c>
    </row>
    <row r="272" spans="1:4">
      <c r="A272" s="24">
        <v>45557</v>
      </c>
      <c r="B272" s="20">
        <v>1</v>
      </c>
      <c r="D272" t="str">
        <f>TEXT(A271, "mm/yyyy")</f>
        <v>09/2024</v>
      </c>
    </row>
    <row r="273" spans="1:4">
      <c r="A273" s="24">
        <v>45558</v>
      </c>
      <c r="B273" s="20">
        <v>1</v>
      </c>
      <c r="D273" t="str">
        <f>TEXT(A272, "mm/yyyy")</f>
        <v>09/2024</v>
      </c>
    </row>
    <row r="274" spans="1:4">
      <c r="A274" s="24">
        <v>45559</v>
      </c>
      <c r="B274" s="20">
        <v>1</v>
      </c>
      <c r="D274" t="str">
        <f>TEXT(A273, "mm/yyyy")</f>
        <v>09/2024</v>
      </c>
    </row>
    <row r="275" spans="1:4">
      <c r="A275" s="24">
        <v>45560</v>
      </c>
      <c r="B275" s="20">
        <v>1</v>
      </c>
      <c r="D275" t="str">
        <f>TEXT(A274, "mm/yyyy")</f>
        <v>09/2024</v>
      </c>
    </row>
    <row r="276" spans="1:4">
      <c r="A276" s="24">
        <v>45561</v>
      </c>
      <c r="B276" s="20">
        <v>1</v>
      </c>
      <c r="D276" t="str">
        <f>TEXT(A275, "mm/yyyy")</f>
        <v>09/2024</v>
      </c>
    </row>
    <row r="277" spans="1:4">
      <c r="A277" s="24">
        <v>45562</v>
      </c>
      <c r="B277" s="20">
        <v>1</v>
      </c>
      <c r="D277" t="str">
        <f>TEXT(A276, "mm/yyyy")</f>
        <v>09/2024</v>
      </c>
    </row>
    <row r="278" spans="1:4">
      <c r="A278" s="24">
        <v>45563</v>
      </c>
      <c r="B278" s="20">
        <v>1</v>
      </c>
      <c r="D278" t="str">
        <f>TEXT(A277, "mm/yyyy")</f>
        <v>09/2024</v>
      </c>
    </row>
    <row r="279" spans="1:4">
      <c r="A279" s="24">
        <v>45564</v>
      </c>
      <c r="B279" s="20">
        <v>1</v>
      </c>
      <c r="D279" t="str">
        <f>TEXT(A278, "mm/yyyy")</f>
        <v>09/2024</v>
      </c>
    </row>
    <row r="280" spans="1:4">
      <c r="A280" s="24">
        <v>45565</v>
      </c>
      <c r="B280" s="20">
        <v>1</v>
      </c>
      <c r="D280" t="str">
        <f>TEXT(A279, "mm/yyyy")</f>
        <v>09/2024</v>
      </c>
    </row>
    <row r="281" spans="1:4">
      <c r="A281" s="24">
        <v>45566</v>
      </c>
      <c r="B281" s="20">
        <v>1</v>
      </c>
      <c r="D281" t="str">
        <f>TEXT(A280, "mm/yyyy")</f>
        <v>09/2024</v>
      </c>
    </row>
    <row r="282" spans="1:4">
      <c r="A282" s="24">
        <v>45567</v>
      </c>
      <c r="B282" s="20">
        <v>1</v>
      </c>
      <c r="D282" t="str">
        <f>TEXT(A281, "mm/yyyy")</f>
        <v>10/2024</v>
      </c>
    </row>
    <row r="283" spans="1:4">
      <c r="A283" s="24">
        <v>45568</v>
      </c>
      <c r="B283" s="20">
        <v>1</v>
      </c>
      <c r="D283" t="str">
        <f>TEXT(A282, "mm/yyyy")</f>
        <v>10/2024</v>
      </c>
    </row>
    <row r="284" spans="1:4">
      <c r="A284" s="24">
        <v>45569</v>
      </c>
      <c r="B284" s="20">
        <v>1</v>
      </c>
      <c r="D284" t="str">
        <f>TEXT(A283, "mm/yyyy")</f>
        <v>10/2024</v>
      </c>
    </row>
    <row r="285" spans="1:4">
      <c r="A285" s="24">
        <v>45570</v>
      </c>
      <c r="B285" s="20">
        <v>1</v>
      </c>
      <c r="D285" t="str">
        <f>TEXT(A284, "mm/yyyy")</f>
        <v>10/2024</v>
      </c>
    </row>
    <row r="286" spans="1:4">
      <c r="A286" s="24">
        <v>45571</v>
      </c>
      <c r="B286" s="20">
        <v>1</v>
      </c>
      <c r="D286" t="str">
        <f>TEXT(A285, "mm/yyyy")</f>
        <v>10/2024</v>
      </c>
    </row>
    <row r="287" spans="1:4">
      <c r="A287" s="24">
        <v>45572</v>
      </c>
      <c r="B287" s="20">
        <v>1</v>
      </c>
      <c r="D287" t="str">
        <f>TEXT(A286, "mm/yyyy")</f>
        <v>10/2024</v>
      </c>
    </row>
    <row r="288" spans="1:4">
      <c r="A288" s="24">
        <v>45573</v>
      </c>
      <c r="B288" s="20">
        <v>1</v>
      </c>
      <c r="D288" t="str">
        <f>TEXT(A287, "mm/yyyy")</f>
        <v>10/2024</v>
      </c>
    </row>
    <row r="289" spans="1:4">
      <c r="A289" s="24">
        <v>45574</v>
      </c>
      <c r="B289" s="20">
        <v>1</v>
      </c>
      <c r="D289" t="str">
        <f>TEXT(A288, "mm/yyyy")</f>
        <v>10/2024</v>
      </c>
    </row>
    <row r="290" spans="1:4">
      <c r="A290" s="24">
        <v>45575</v>
      </c>
      <c r="B290" s="20">
        <v>1</v>
      </c>
      <c r="D290" t="str">
        <f>TEXT(A289, "mm/yyyy")</f>
        <v>10/2024</v>
      </c>
    </row>
    <row r="291" spans="1:4">
      <c r="A291" s="24">
        <v>45576</v>
      </c>
      <c r="B291" s="20">
        <v>1</v>
      </c>
      <c r="D291" t="str">
        <f>TEXT(A290, "mm/yyyy")</f>
        <v>10/2024</v>
      </c>
    </row>
    <row r="292" spans="1:4">
      <c r="A292" s="24">
        <v>45577</v>
      </c>
      <c r="B292" s="20">
        <v>1</v>
      </c>
      <c r="D292" t="str">
        <f>TEXT(A291, "mm/yyyy")</f>
        <v>10/2024</v>
      </c>
    </row>
    <row r="293" spans="1:4">
      <c r="A293" s="24">
        <v>45578</v>
      </c>
      <c r="B293" s="20">
        <v>1</v>
      </c>
      <c r="D293" t="str">
        <f>TEXT(A292, "mm/yyyy")</f>
        <v>10/2024</v>
      </c>
    </row>
    <row r="294" spans="1:4">
      <c r="A294" s="24">
        <v>45579</v>
      </c>
      <c r="B294" s="20">
        <v>1</v>
      </c>
      <c r="D294" t="str">
        <f>TEXT(A293, "mm/yyyy")</f>
        <v>10/2024</v>
      </c>
    </row>
    <row r="295" spans="1:4">
      <c r="A295" s="24">
        <v>45580</v>
      </c>
      <c r="B295" s="20">
        <v>1</v>
      </c>
      <c r="D295" t="str">
        <f>TEXT(A294, "mm/yyyy")</f>
        <v>10/2024</v>
      </c>
    </row>
    <row r="296" spans="1:4">
      <c r="A296" s="24">
        <v>45581</v>
      </c>
      <c r="B296" s="20">
        <v>1</v>
      </c>
      <c r="D296" t="str">
        <f>TEXT(A295, "mm/yyyy")</f>
        <v>10/2024</v>
      </c>
    </row>
    <row r="297" spans="1:4">
      <c r="A297" s="24">
        <v>45582</v>
      </c>
      <c r="B297" s="20">
        <v>1</v>
      </c>
      <c r="D297" t="str">
        <f>TEXT(A296, "mm/yyyy")</f>
        <v>10/2024</v>
      </c>
    </row>
    <row r="298" spans="1:4">
      <c r="A298" s="24">
        <v>45583</v>
      </c>
      <c r="B298" s="20">
        <v>1</v>
      </c>
      <c r="D298" t="str">
        <f>TEXT(A297, "mm/yyyy")</f>
        <v>10/2024</v>
      </c>
    </row>
    <row r="299" spans="1:4">
      <c r="A299" s="24">
        <v>45584</v>
      </c>
      <c r="B299" s="20">
        <v>1</v>
      </c>
      <c r="D299" t="str">
        <f>TEXT(A298, "mm/yyyy")</f>
        <v>10/2024</v>
      </c>
    </row>
    <row r="300" spans="1:4">
      <c r="A300" s="24">
        <v>45585</v>
      </c>
      <c r="B300" s="20">
        <v>1</v>
      </c>
      <c r="D300" t="str">
        <f>TEXT(A299, "mm/yyyy")</f>
        <v>10/2024</v>
      </c>
    </row>
    <row r="301" spans="1:4">
      <c r="A301" s="24">
        <v>45586</v>
      </c>
      <c r="B301" s="20">
        <v>1</v>
      </c>
      <c r="D301" t="str">
        <f>TEXT(A300, "mm/yyyy")</f>
        <v>10/2024</v>
      </c>
    </row>
    <row r="302" spans="1:4">
      <c r="A302" s="24">
        <v>45587</v>
      </c>
      <c r="B302" s="20">
        <v>1</v>
      </c>
      <c r="D302" t="str">
        <f>TEXT(A301, "mm/yyyy")</f>
        <v>10/2024</v>
      </c>
    </row>
    <row r="303" spans="1:4">
      <c r="A303" s="24">
        <v>45588</v>
      </c>
      <c r="B303" s="20">
        <v>1</v>
      </c>
      <c r="D303" t="str">
        <f>TEXT(A302, "mm/yyyy")</f>
        <v>10/2024</v>
      </c>
    </row>
    <row r="304" spans="1:4">
      <c r="A304" s="24">
        <v>45589</v>
      </c>
      <c r="B304" s="20">
        <v>1</v>
      </c>
      <c r="D304" t="str">
        <f>TEXT(A303, "mm/yyyy")</f>
        <v>10/2024</v>
      </c>
    </row>
    <row r="305" spans="1:4">
      <c r="A305" s="24">
        <v>45590</v>
      </c>
      <c r="B305" s="20">
        <v>1</v>
      </c>
      <c r="D305" t="str">
        <f>TEXT(A304, "mm/yyyy")</f>
        <v>10/2024</v>
      </c>
    </row>
    <row r="306" spans="1:4">
      <c r="A306" s="24">
        <v>45591</v>
      </c>
      <c r="B306" s="20">
        <v>1</v>
      </c>
      <c r="D306" t="str">
        <f>TEXT(A305, "mm/yyyy")</f>
        <v>10/2024</v>
      </c>
    </row>
    <row r="307" spans="1:4">
      <c r="A307" s="24">
        <v>45592</v>
      </c>
      <c r="B307" s="20">
        <v>1</v>
      </c>
      <c r="D307" t="str">
        <f>TEXT(A306, "mm/yyyy")</f>
        <v>10/2024</v>
      </c>
    </row>
    <row r="308" spans="1:4">
      <c r="A308" s="24">
        <v>45593</v>
      </c>
      <c r="B308" s="20">
        <v>1</v>
      </c>
      <c r="D308" t="str">
        <f>TEXT(A307, "mm/yyyy")</f>
        <v>10/2024</v>
      </c>
    </row>
    <row r="309" spans="1:4">
      <c r="A309" s="24">
        <v>45594</v>
      </c>
      <c r="B309" s="20">
        <v>1</v>
      </c>
      <c r="D309" t="str">
        <f>TEXT(A308, "mm/yyyy")</f>
        <v>10/2024</v>
      </c>
    </row>
    <row r="310" spans="1:4">
      <c r="A310" s="24">
        <v>45595</v>
      </c>
      <c r="B310" s="20">
        <v>1</v>
      </c>
      <c r="D310" t="str">
        <f>TEXT(A309, "mm/yyyy")</f>
        <v>10/2024</v>
      </c>
    </row>
    <row r="311" spans="1:4">
      <c r="A311" s="24">
        <v>45596</v>
      </c>
      <c r="B311" s="20">
        <v>1</v>
      </c>
      <c r="D311" t="str">
        <f>TEXT(A310, "mm/yyyy")</f>
        <v>10/2024</v>
      </c>
    </row>
    <row r="312" spans="1:4">
      <c r="A312" s="24">
        <v>45597</v>
      </c>
      <c r="B312" s="20">
        <v>1</v>
      </c>
      <c r="D312" t="str">
        <f>TEXT(A311, "mm/yyyy")</f>
        <v>10/2024</v>
      </c>
    </row>
    <row r="313" spans="1:4">
      <c r="A313" s="24">
        <v>45598</v>
      </c>
      <c r="B313" s="20">
        <v>1</v>
      </c>
      <c r="D313" t="str">
        <f>TEXT(A312, "mm/yyyy")</f>
        <v>11/2024</v>
      </c>
    </row>
    <row r="314" spans="1:4">
      <c r="A314" s="24">
        <v>45599</v>
      </c>
      <c r="B314" s="20">
        <v>1</v>
      </c>
      <c r="D314" t="str">
        <f>TEXT(A313, "mm/yyyy")</f>
        <v>11/2024</v>
      </c>
    </row>
    <row r="315" spans="1:4">
      <c r="A315" s="24">
        <v>45600</v>
      </c>
      <c r="B315" s="20">
        <v>1</v>
      </c>
      <c r="D315" t="str">
        <f>TEXT(A314, "mm/yyyy")</f>
        <v>11/2024</v>
      </c>
    </row>
    <row r="316" spans="1:4">
      <c r="A316" s="24">
        <v>45601</v>
      </c>
      <c r="B316" s="20">
        <v>1</v>
      </c>
      <c r="D316" t="str">
        <f>TEXT(A315, "mm/yyyy")</f>
        <v>11/2024</v>
      </c>
    </row>
    <row r="317" spans="1:4">
      <c r="A317" s="24">
        <v>45602</v>
      </c>
      <c r="B317" s="20">
        <v>1</v>
      </c>
      <c r="D317" t="str">
        <f>TEXT(A316, "mm/yyyy")</f>
        <v>11/2024</v>
      </c>
    </row>
    <row r="318" spans="1:4">
      <c r="A318" s="24">
        <v>45603</v>
      </c>
      <c r="B318" s="20">
        <v>1</v>
      </c>
      <c r="D318" t="str">
        <f>TEXT(A317, "mm/yyyy")</f>
        <v>11/2024</v>
      </c>
    </row>
    <row r="319" spans="1:4">
      <c r="A319" s="24">
        <v>45604</v>
      </c>
      <c r="B319" s="20">
        <v>1</v>
      </c>
      <c r="D319" t="str">
        <f>TEXT(A318, "mm/yyyy")</f>
        <v>11/2024</v>
      </c>
    </row>
    <row r="320" spans="1:4">
      <c r="A320" s="24">
        <v>45605</v>
      </c>
      <c r="B320" s="20">
        <v>1</v>
      </c>
      <c r="D320" t="str">
        <f>TEXT(A319, "mm/yyyy")</f>
        <v>11/2024</v>
      </c>
    </row>
    <row r="321" spans="1:4">
      <c r="A321" s="24">
        <v>45606</v>
      </c>
      <c r="B321" s="20">
        <v>1</v>
      </c>
      <c r="D321" t="str">
        <f>TEXT(A320, "mm/yyyy")</f>
        <v>11/2024</v>
      </c>
    </row>
    <row r="322" spans="1:4">
      <c r="A322" s="24">
        <v>45607</v>
      </c>
      <c r="B322" s="20">
        <v>1</v>
      </c>
      <c r="D322" t="str">
        <f>TEXT(A321, "mm/yyyy")</f>
        <v>11/2024</v>
      </c>
    </row>
    <row r="323" spans="1:4">
      <c r="A323" s="24">
        <v>45608</v>
      </c>
      <c r="B323" s="20">
        <v>1</v>
      </c>
      <c r="D323" t="str">
        <f>TEXT(A322, "mm/yyyy")</f>
        <v>11/2024</v>
      </c>
    </row>
    <row r="324" spans="1:4">
      <c r="A324" s="24">
        <v>45609</v>
      </c>
      <c r="B324" s="20">
        <v>1</v>
      </c>
      <c r="D324" t="str">
        <f>TEXT(A323, "mm/yyyy")</f>
        <v>11/2024</v>
      </c>
    </row>
    <row r="325" spans="1:4">
      <c r="A325" s="24">
        <v>45610</v>
      </c>
      <c r="B325" s="20">
        <v>1</v>
      </c>
      <c r="D325" t="str">
        <f>TEXT(A324, "mm/yyyy")</f>
        <v>11/2024</v>
      </c>
    </row>
    <row r="326" spans="1:4">
      <c r="A326" s="24">
        <v>45611</v>
      </c>
      <c r="B326" s="20">
        <v>1</v>
      </c>
      <c r="D326" t="str">
        <f>TEXT(A325, "mm/yyyy")</f>
        <v>11/2024</v>
      </c>
    </row>
    <row r="327" spans="1:4">
      <c r="A327" s="24">
        <v>45612</v>
      </c>
      <c r="B327" s="20">
        <v>1</v>
      </c>
      <c r="D327" t="str">
        <f>TEXT(A326, "mm/yyyy")</f>
        <v>11/2024</v>
      </c>
    </row>
    <row r="328" spans="1:4">
      <c r="A328" s="24">
        <v>45613</v>
      </c>
      <c r="B328" s="20">
        <v>1</v>
      </c>
      <c r="D328" t="str">
        <f>TEXT(A327, "mm/yyyy")</f>
        <v>11/2024</v>
      </c>
    </row>
    <row r="329" spans="1:4">
      <c r="A329" s="24">
        <v>45614</v>
      </c>
      <c r="B329" s="20">
        <v>1</v>
      </c>
      <c r="D329" t="str">
        <f>TEXT(A328, "mm/yyyy")</f>
        <v>11/2024</v>
      </c>
    </row>
    <row r="330" spans="1:4">
      <c r="A330" s="24">
        <v>45615</v>
      </c>
      <c r="B330" s="20">
        <v>1</v>
      </c>
      <c r="D330" t="str">
        <f>TEXT(A329, "mm/yyyy")</f>
        <v>11/2024</v>
      </c>
    </row>
    <row r="331" spans="1:4">
      <c r="A331" s="24">
        <v>45616</v>
      </c>
      <c r="B331" s="20">
        <v>1</v>
      </c>
      <c r="D331" t="str">
        <f>TEXT(A330, "mm/yyyy")</f>
        <v>11/2024</v>
      </c>
    </row>
    <row r="332" spans="1:4">
      <c r="A332" s="24">
        <v>45617</v>
      </c>
      <c r="B332" s="20">
        <v>1</v>
      </c>
      <c r="D332" t="str">
        <f>TEXT(A331, "mm/yyyy")</f>
        <v>11/2024</v>
      </c>
    </row>
    <row r="333" spans="1:4">
      <c r="A333" s="24">
        <v>45618</v>
      </c>
      <c r="B333" s="20">
        <v>1</v>
      </c>
      <c r="D333" t="str">
        <f>TEXT(A332, "mm/yyyy")</f>
        <v>11/2024</v>
      </c>
    </row>
    <row r="334" spans="1:4">
      <c r="A334" s="24">
        <v>45619</v>
      </c>
      <c r="B334" s="20">
        <v>1</v>
      </c>
      <c r="D334" t="str">
        <f>TEXT(A333, "mm/yyyy")</f>
        <v>11/2024</v>
      </c>
    </row>
    <row r="335" spans="1:4">
      <c r="A335" s="24">
        <v>45620</v>
      </c>
      <c r="B335" s="20">
        <v>1</v>
      </c>
      <c r="D335" t="str">
        <f>TEXT(A334, "mm/yyyy")</f>
        <v>11/2024</v>
      </c>
    </row>
    <row r="336" spans="1:4">
      <c r="A336" s="24">
        <v>45621</v>
      </c>
      <c r="B336" s="20">
        <v>1</v>
      </c>
      <c r="D336" t="str">
        <f>TEXT(A335, "mm/yyyy")</f>
        <v>11/2024</v>
      </c>
    </row>
    <row r="337" spans="1:4">
      <c r="A337" s="24">
        <v>45622</v>
      </c>
      <c r="B337" s="20">
        <v>1</v>
      </c>
      <c r="D337" t="str">
        <f>TEXT(A336, "mm/yyyy")</f>
        <v>11/2024</v>
      </c>
    </row>
    <row r="338" spans="1:4">
      <c r="A338" s="24">
        <v>45623</v>
      </c>
      <c r="B338" s="20">
        <v>1</v>
      </c>
      <c r="D338" t="str">
        <f>TEXT(A337, "mm/yyyy")</f>
        <v>11/2024</v>
      </c>
    </row>
    <row r="339" spans="1:4">
      <c r="A339" s="24">
        <v>45624</v>
      </c>
      <c r="B339" s="20">
        <v>1</v>
      </c>
      <c r="D339" t="str">
        <f>TEXT(A338, "mm/yyyy")</f>
        <v>11/2024</v>
      </c>
    </row>
    <row r="340" spans="1:4">
      <c r="A340" s="24">
        <v>45625</v>
      </c>
      <c r="B340" s="20">
        <v>1</v>
      </c>
      <c r="D340" t="str">
        <f>TEXT(A339, "mm/yyyy")</f>
        <v>11/2024</v>
      </c>
    </row>
    <row r="341" spans="1:4">
      <c r="A341" s="24">
        <v>45626</v>
      </c>
      <c r="B341" s="20">
        <v>1</v>
      </c>
      <c r="D341" t="str">
        <f>TEXT(A340, "mm/yyyy")</f>
        <v>11/2024</v>
      </c>
    </row>
    <row r="342" spans="1:4">
      <c r="A342" s="24">
        <v>45627</v>
      </c>
      <c r="B342" s="20">
        <v>1</v>
      </c>
      <c r="D342" t="str">
        <f>TEXT(A341, "mm/yyyy")</f>
        <v>11/2024</v>
      </c>
    </row>
    <row r="343" spans="1:4">
      <c r="A343" s="24">
        <v>45628</v>
      </c>
      <c r="B343" s="20">
        <v>1</v>
      </c>
      <c r="D343" t="str">
        <f>TEXT(A342, "mm/yyyy")</f>
        <v>12/2024</v>
      </c>
    </row>
    <row r="344" spans="1:4">
      <c r="A344" s="24">
        <v>45629</v>
      </c>
      <c r="B344" s="20">
        <v>1</v>
      </c>
      <c r="D344" t="str">
        <f>TEXT(A343, "mm/yyyy")</f>
        <v>12/2024</v>
      </c>
    </row>
    <row r="345" spans="1:4">
      <c r="A345" s="24">
        <v>45630</v>
      </c>
      <c r="B345" s="20">
        <v>1</v>
      </c>
      <c r="D345" t="str">
        <f>TEXT(A344, "mm/yyyy")</f>
        <v>12/2024</v>
      </c>
    </row>
    <row r="346" spans="1:4">
      <c r="A346" s="24">
        <v>45631</v>
      </c>
      <c r="B346" s="20">
        <v>1</v>
      </c>
      <c r="D346" t="str">
        <f>TEXT(A345, "mm/yyyy")</f>
        <v>12/2024</v>
      </c>
    </row>
    <row r="347" spans="1:4">
      <c r="A347" s="24">
        <v>45632</v>
      </c>
      <c r="B347" s="20">
        <v>1</v>
      </c>
      <c r="D347" t="str">
        <f>TEXT(A346, "mm/yyyy")</f>
        <v>12/2024</v>
      </c>
    </row>
    <row r="348" spans="1:4">
      <c r="A348" s="24">
        <v>45633</v>
      </c>
      <c r="B348" s="20">
        <v>1</v>
      </c>
      <c r="D348" t="str">
        <f>TEXT(A347, "mm/yyyy")</f>
        <v>12/2024</v>
      </c>
    </row>
    <row r="349" spans="1:4">
      <c r="A349" s="24">
        <v>45634</v>
      </c>
      <c r="B349" s="20">
        <v>1</v>
      </c>
      <c r="D349" t="str">
        <f>TEXT(A348, "mm/yyyy")</f>
        <v>12/2024</v>
      </c>
    </row>
    <row r="350" spans="1:4">
      <c r="A350" s="24">
        <v>45635</v>
      </c>
      <c r="B350" s="20">
        <v>1</v>
      </c>
      <c r="D350" t="str">
        <f>TEXT(A349, "mm/yyyy")</f>
        <v>12/2024</v>
      </c>
    </row>
    <row r="351" spans="1:4">
      <c r="A351" s="24">
        <v>45636</v>
      </c>
      <c r="B351" s="20">
        <v>1</v>
      </c>
      <c r="D351" t="str">
        <f>TEXT(A350, "mm/yyyy")</f>
        <v>12/2024</v>
      </c>
    </row>
    <row r="352" spans="1:4">
      <c r="A352" s="24">
        <v>45637</v>
      </c>
      <c r="B352" s="20">
        <v>1</v>
      </c>
      <c r="D352" t="str">
        <f>TEXT(A351, "mm/yyyy")</f>
        <v>12/2024</v>
      </c>
    </row>
    <row r="353" spans="1:4">
      <c r="A353" s="24">
        <v>45638</v>
      </c>
      <c r="B353" s="20">
        <v>1</v>
      </c>
      <c r="D353" t="str">
        <f>TEXT(A352, "mm/yyyy")</f>
        <v>12/2024</v>
      </c>
    </row>
    <row r="354" spans="1:4">
      <c r="A354" s="24">
        <v>45639</v>
      </c>
      <c r="B354" s="20">
        <v>1</v>
      </c>
      <c r="D354" t="str">
        <f>TEXT(A353, "mm/yyyy")</f>
        <v>12/2024</v>
      </c>
    </row>
    <row r="355" spans="1:4">
      <c r="A355" s="24">
        <v>45640</v>
      </c>
      <c r="B355" s="20">
        <v>1</v>
      </c>
      <c r="D355" t="str">
        <f>TEXT(A354, "mm/yyyy")</f>
        <v>12/2024</v>
      </c>
    </row>
    <row r="356" spans="1:4">
      <c r="A356" s="24">
        <v>45641</v>
      </c>
      <c r="B356" s="20">
        <v>1</v>
      </c>
      <c r="D356" t="str">
        <f>TEXT(A355, "mm/yyyy")</f>
        <v>12/2024</v>
      </c>
    </row>
    <row r="357" spans="1:4">
      <c r="A357" s="24">
        <v>45642</v>
      </c>
      <c r="B357" s="20">
        <v>1</v>
      </c>
      <c r="D357" t="str">
        <f>TEXT(A356, "mm/yyyy")</f>
        <v>12/2024</v>
      </c>
    </row>
    <row r="358" spans="1:4">
      <c r="A358" s="24" t="s">
        <v>314</v>
      </c>
      <c r="B358" s="20">
        <v>295</v>
      </c>
      <c r="D358" t="str">
        <f>TEXT(A357, "mm/yyyy")</f>
        <v>12/2024</v>
      </c>
    </row>
  </sheetData>
  <pageMargins left="0.511811024" right="0.511811024" top="0.78740157499999996" bottom="0.78740157499999996" header="0.31496062000000002" footer="0.31496062000000002"/>
  <drawing r:id="rId10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766D-66E7-436C-B2DB-D87DFB92F262}">
  <dimension ref="A1:X35"/>
  <sheetViews>
    <sheetView tabSelected="1" workbookViewId="0">
      <selection activeCell="T6" sqref="T6:W7"/>
    </sheetView>
  </sheetViews>
  <sheetFormatPr defaultRowHeight="15"/>
  <cols>
    <col min="3" max="3" width="1.5703125" style="7" customWidth="1"/>
    <col min="4" max="6" width="9.140625" style="7"/>
    <col min="7" max="7" width="1.5703125" style="7" customWidth="1"/>
    <col min="8" max="8" width="19.7109375" style="7" bestFit="1" customWidth="1"/>
    <col min="9" max="9" width="9.140625" style="7"/>
    <col min="10" max="10" width="1.5703125" style="7" customWidth="1"/>
    <col min="11" max="18" width="9.140625" style="7"/>
    <col min="19" max="19" width="3.7109375" style="7" customWidth="1"/>
    <col min="20" max="22" width="9.140625" style="7"/>
    <col min="23" max="23" width="13" customWidth="1"/>
  </cols>
  <sheetData>
    <row r="1" spans="1:24">
      <c r="A1" s="12"/>
      <c r="B1" s="12"/>
      <c r="C1" s="14"/>
      <c r="D1" s="14"/>
      <c r="E1" s="27" t="s">
        <v>334</v>
      </c>
      <c r="F1" s="27"/>
      <c r="G1" s="27"/>
      <c r="H1" s="27"/>
      <c r="I1" s="27"/>
      <c r="J1" s="27"/>
      <c r="K1" s="27"/>
      <c r="L1" s="27"/>
      <c r="M1" s="27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2"/>
      <c r="B2" s="12"/>
      <c r="C2" s="14"/>
      <c r="D2" s="14"/>
      <c r="E2" s="27"/>
      <c r="F2" s="27"/>
      <c r="G2" s="27"/>
      <c r="H2" s="27"/>
      <c r="I2" s="27"/>
      <c r="J2" s="27"/>
      <c r="K2" s="27"/>
      <c r="L2" s="27"/>
      <c r="M2" s="2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s="17" customFormat="1" ht="5.25" customHeight="1">
      <c r="A3" s="16"/>
      <c r="B3" s="1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>
      <c r="A4" s="12"/>
      <c r="B4" s="12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6.75" customHeight="1">
      <c r="A5" s="12"/>
      <c r="B5" s="12"/>
      <c r="W5" s="7"/>
      <c r="X5" s="7"/>
    </row>
    <row r="6" spans="1:24">
      <c r="A6" s="12"/>
      <c r="B6" s="12"/>
      <c r="D6" s="28" t="s">
        <v>335</v>
      </c>
      <c r="E6" s="28"/>
      <c r="F6" s="28"/>
      <c r="H6" s="28" t="s">
        <v>336</v>
      </c>
      <c r="I6" s="28"/>
      <c r="J6" s="32"/>
      <c r="K6" s="26" t="s">
        <v>337</v>
      </c>
      <c r="L6" s="26"/>
      <c r="M6" s="26"/>
      <c r="N6" s="26"/>
      <c r="O6" s="26"/>
      <c r="P6" s="26"/>
      <c r="Q6" s="26"/>
      <c r="R6" s="26"/>
      <c r="T6" s="31" t="s">
        <v>338</v>
      </c>
      <c r="U6" s="31"/>
      <c r="V6" s="31"/>
      <c r="W6" s="31"/>
      <c r="X6" s="7"/>
    </row>
    <row r="7" spans="1:24">
      <c r="A7" s="12"/>
      <c r="B7" s="12"/>
      <c r="D7" s="29">
        <f>C̳álculos!A18</f>
        <v>7633</v>
      </c>
      <c r="E7" s="29"/>
      <c r="F7" s="29"/>
      <c r="H7" s="25"/>
      <c r="I7" s="25"/>
      <c r="J7" s="21"/>
      <c r="K7" s="25"/>
      <c r="L7" s="25"/>
      <c r="M7" s="25"/>
      <c r="N7" s="25"/>
      <c r="O7" s="25"/>
      <c r="P7" s="25"/>
      <c r="Q7" s="25"/>
      <c r="R7" s="25"/>
      <c r="T7" s="31"/>
      <c r="U7" s="31"/>
      <c r="V7" s="31"/>
      <c r="W7" s="31"/>
      <c r="X7" s="7"/>
    </row>
    <row r="8" spans="1:24">
      <c r="A8" s="12"/>
      <c r="B8" s="12"/>
      <c r="D8" s="29"/>
      <c r="E8" s="29"/>
      <c r="F8" s="29"/>
      <c r="H8" s="25"/>
      <c r="I8" s="25"/>
      <c r="J8" s="21"/>
      <c r="K8" s="25"/>
      <c r="L8" s="25"/>
      <c r="M8" s="25"/>
      <c r="N8" s="25"/>
      <c r="O8" s="25"/>
      <c r="P8" s="25"/>
      <c r="Q8" s="25"/>
      <c r="R8" s="25"/>
      <c r="T8" s="22"/>
      <c r="U8" s="22"/>
      <c r="V8" s="22"/>
      <c r="W8" s="22"/>
      <c r="X8" s="7"/>
    </row>
    <row r="9" spans="1:24">
      <c r="A9" s="12"/>
      <c r="B9" s="12"/>
      <c r="D9" s="29"/>
      <c r="E9" s="29"/>
      <c r="F9" s="29"/>
      <c r="H9" s="25"/>
      <c r="I9" s="25"/>
      <c r="J9" s="21"/>
      <c r="K9" s="25"/>
      <c r="L9" s="25"/>
      <c r="M9" s="25"/>
      <c r="N9" s="25"/>
      <c r="O9" s="25"/>
      <c r="P9" s="25"/>
      <c r="Q9" s="25"/>
      <c r="R9" s="25"/>
      <c r="T9" s="22"/>
      <c r="U9" s="22"/>
      <c r="V9" s="22"/>
      <c r="W9" s="22"/>
      <c r="X9" s="7"/>
    </row>
    <row r="10" spans="1:24">
      <c r="A10" s="12"/>
      <c r="B10" s="12"/>
      <c r="D10" s="29"/>
      <c r="E10" s="29"/>
      <c r="F10" s="29"/>
      <c r="H10" s="25"/>
      <c r="I10" s="25"/>
      <c r="J10" s="21"/>
      <c r="K10" s="25"/>
      <c r="L10" s="25"/>
      <c r="M10" s="25"/>
      <c r="N10" s="25"/>
      <c r="O10" s="25"/>
      <c r="P10" s="25"/>
      <c r="Q10" s="25"/>
      <c r="R10" s="25"/>
      <c r="T10" s="22"/>
      <c r="U10" s="22"/>
      <c r="V10" s="22"/>
      <c r="W10" s="22"/>
      <c r="X10" s="7"/>
    </row>
    <row r="11" spans="1:24">
      <c r="A11" s="12"/>
      <c r="B11" s="12"/>
      <c r="D11" s="29"/>
      <c r="E11" s="29"/>
      <c r="F11" s="29"/>
      <c r="H11" s="25"/>
      <c r="I11" s="25"/>
      <c r="J11" s="21"/>
      <c r="K11" s="25"/>
      <c r="L11" s="25"/>
      <c r="M11" s="25"/>
      <c r="N11" s="25"/>
      <c r="O11" s="25"/>
      <c r="P11" s="25"/>
      <c r="Q11" s="25"/>
      <c r="R11" s="25"/>
      <c r="T11" s="22"/>
      <c r="U11" s="22"/>
      <c r="V11" s="22"/>
      <c r="W11" s="22"/>
      <c r="X11" s="7"/>
    </row>
    <row r="12" spans="1:24" ht="18.75" customHeight="1">
      <c r="A12" s="12"/>
      <c r="B12" s="12"/>
      <c r="D12" s="29"/>
      <c r="E12" s="29"/>
      <c r="F12" s="29"/>
      <c r="H12" s="25"/>
      <c r="I12" s="25"/>
      <c r="J12" s="21"/>
      <c r="K12" s="25"/>
      <c r="L12" s="25"/>
      <c r="M12" s="25"/>
      <c r="N12" s="25"/>
      <c r="O12" s="25"/>
      <c r="P12" s="25"/>
      <c r="Q12" s="25"/>
      <c r="R12" s="25"/>
      <c r="T12" s="22"/>
      <c r="U12" s="22"/>
      <c r="V12" s="22"/>
      <c r="W12" s="22"/>
      <c r="X12" s="7"/>
    </row>
    <row r="13" spans="1:24" ht="8.25" customHeight="1">
      <c r="A13" s="12"/>
      <c r="B13" s="12"/>
      <c r="K13" s="25"/>
      <c r="L13" s="25"/>
      <c r="M13" s="25"/>
      <c r="N13" s="25"/>
      <c r="O13" s="25"/>
      <c r="P13" s="25"/>
      <c r="Q13" s="25"/>
      <c r="R13" s="25"/>
      <c r="T13" s="22"/>
      <c r="U13" s="22"/>
      <c r="V13" s="22"/>
      <c r="W13" s="22"/>
      <c r="X13" s="7"/>
    </row>
    <row r="14" spans="1:24" ht="15" customHeight="1">
      <c r="A14" s="12"/>
      <c r="B14" s="12"/>
      <c r="D14" s="30" t="s">
        <v>339</v>
      </c>
      <c r="E14" s="30"/>
      <c r="F14" s="30"/>
      <c r="G14" s="30"/>
      <c r="H14" s="30"/>
      <c r="I14" s="30"/>
      <c r="K14" s="25"/>
      <c r="L14" s="25"/>
      <c r="M14" s="25"/>
      <c r="N14" s="25"/>
      <c r="O14" s="25"/>
      <c r="P14" s="25"/>
      <c r="Q14" s="25"/>
      <c r="R14" s="25"/>
      <c r="T14" s="22"/>
      <c r="U14" s="22"/>
      <c r="V14" s="22"/>
      <c r="W14" s="22"/>
      <c r="X14" s="7"/>
    </row>
    <row r="15" spans="1:24" ht="15" customHeight="1">
      <c r="A15" s="12"/>
      <c r="B15" s="12"/>
      <c r="D15" s="30"/>
      <c r="E15" s="30"/>
      <c r="F15" s="30"/>
      <c r="G15" s="30"/>
      <c r="H15" s="30"/>
      <c r="I15" s="30"/>
      <c r="K15" s="25"/>
      <c r="L15" s="25"/>
      <c r="M15" s="25"/>
      <c r="N15" s="25"/>
      <c r="O15" s="25"/>
      <c r="P15" s="25"/>
      <c r="Q15" s="25"/>
      <c r="R15" s="25"/>
      <c r="T15" s="22"/>
      <c r="U15" s="22"/>
      <c r="V15" s="22"/>
      <c r="W15" s="22"/>
      <c r="X15" s="7"/>
    </row>
    <row r="16" spans="1:24" ht="15" customHeight="1">
      <c r="A16" s="12"/>
      <c r="B16" s="12"/>
      <c r="D16" s="22"/>
      <c r="E16" s="22"/>
      <c r="F16" s="22"/>
      <c r="G16" s="22"/>
      <c r="H16" s="22"/>
      <c r="I16" s="22"/>
      <c r="K16" s="25"/>
      <c r="L16" s="25"/>
      <c r="M16" s="25"/>
      <c r="N16" s="25"/>
      <c r="O16" s="25"/>
      <c r="P16" s="25"/>
      <c r="Q16" s="25"/>
      <c r="R16" s="25"/>
      <c r="T16" s="22"/>
      <c r="U16" s="22"/>
      <c r="V16" s="22"/>
      <c r="W16" s="22"/>
      <c r="X16" s="7"/>
    </row>
    <row r="17" spans="1:24">
      <c r="A17" s="12"/>
      <c r="B17" s="12"/>
      <c r="D17" s="22"/>
      <c r="E17" s="22"/>
      <c r="F17" s="22"/>
      <c r="G17" s="22"/>
      <c r="H17" s="22"/>
      <c r="I17" s="22"/>
      <c r="K17" s="25"/>
      <c r="L17" s="25"/>
      <c r="M17" s="25"/>
      <c r="N17" s="25"/>
      <c r="O17" s="25"/>
      <c r="P17" s="25"/>
      <c r="Q17" s="25"/>
      <c r="R17" s="25"/>
      <c r="T17" s="22"/>
      <c r="U17" s="22"/>
      <c r="V17" s="22"/>
      <c r="W17" s="22"/>
      <c r="X17" s="7"/>
    </row>
    <row r="18" spans="1:24">
      <c r="A18" s="12"/>
      <c r="B18" s="12"/>
      <c r="D18" s="22"/>
      <c r="E18" s="22"/>
      <c r="F18" s="22"/>
      <c r="G18" s="22"/>
      <c r="H18" s="22"/>
      <c r="I18" s="22"/>
      <c r="K18" s="25"/>
      <c r="L18" s="25"/>
      <c r="M18" s="25"/>
      <c r="N18" s="25"/>
      <c r="O18" s="25"/>
      <c r="P18" s="25"/>
      <c r="Q18" s="25"/>
      <c r="R18" s="25"/>
      <c r="T18" s="22"/>
      <c r="U18" s="22"/>
      <c r="V18" s="22"/>
      <c r="W18" s="22"/>
      <c r="X18" s="7"/>
    </row>
    <row r="19" spans="1:24" ht="9" customHeight="1">
      <c r="A19" s="12"/>
      <c r="B19" s="12"/>
      <c r="D19" s="22"/>
      <c r="E19" s="22"/>
      <c r="F19" s="22"/>
      <c r="G19" s="22"/>
      <c r="H19" s="22"/>
      <c r="I19" s="22"/>
      <c r="T19" s="22"/>
      <c r="U19" s="22"/>
      <c r="V19" s="22"/>
      <c r="W19" s="22"/>
      <c r="X19" s="7"/>
    </row>
    <row r="20" spans="1:24">
      <c r="A20" s="12"/>
      <c r="B20" s="12"/>
      <c r="D20" s="22"/>
      <c r="E20" s="22"/>
      <c r="F20" s="22"/>
      <c r="G20" s="22"/>
      <c r="H20" s="22"/>
      <c r="I20" s="22"/>
      <c r="K20" s="26" t="s">
        <v>340</v>
      </c>
      <c r="L20" s="26"/>
      <c r="M20" s="26"/>
      <c r="N20" s="26"/>
      <c r="O20" s="26"/>
      <c r="P20" s="26"/>
      <c r="Q20" s="26"/>
      <c r="R20" s="26"/>
      <c r="T20" s="22"/>
      <c r="U20" s="22"/>
      <c r="V20" s="22"/>
      <c r="W20" s="22"/>
      <c r="X20" s="7"/>
    </row>
    <row r="21" spans="1:24">
      <c r="A21" s="12"/>
      <c r="B21" s="12"/>
      <c r="D21" s="22"/>
      <c r="E21" s="22"/>
      <c r="F21" s="22"/>
      <c r="G21" s="22"/>
      <c r="H21" s="22"/>
      <c r="I21" s="22"/>
      <c r="K21" s="25"/>
      <c r="L21" s="25"/>
      <c r="M21" s="25"/>
      <c r="N21" s="25"/>
      <c r="O21" s="25"/>
      <c r="P21" s="25"/>
      <c r="Q21" s="25"/>
      <c r="R21" s="25"/>
      <c r="T21" s="22"/>
      <c r="U21" s="22"/>
      <c r="V21" s="22"/>
      <c r="W21" s="22"/>
      <c r="X21" s="7"/>
    </row>
    <row r="22" spans="1:24">
      <c r="A22" s="12"/>
      <c r="B22" s="12"/>
      <c r="D22" s="22"/>
      <c r="E22" s="22"/>
      <c r="F22" s="22"/>
      <c r="G22" s="22"/>
      <c r="H22" s="22"/>
      <c r="I22" s="22"/>
      <c r="K22" s="25"/>
      <c r="L22" s="25"/>
      <c r="M22" s="25"/>
      <c r="N22" s="25"/>
      <c r="O22" s="25"/>
      <c r="P22" s="25"/>
      <c r="Q22" s="25"/>
      <c r="R22" s="25"/>
      <c r="T22" s="22"/>
      <c r="U22" s="22"/>
      <c r="V22" s="22"/>
      <c r="W22" s="22"/>
      <c r="X22" s="7"/>
    </row>
    <row r="23" spans="1:24">
      <c r="A23" s="12"/>
      <c r="B23" s="12"/>
      <c r="D23" s="22"/>
      <c r="E23" s="22"/>
      <c r="F23" s="22"/>
      <c r="G23" s="22"/>
      <c r="H23" s="22"/>
      <c r="I23" s="22"/>
      <c r="K23" s="25"/>
      <c r="L23" s="25"/>
      <c r="M23" s="25"/>
      <c r="N23" s="25"/>
      <c r="O23" s="25"/>
      <c r="P23" s="25"/>
      <c r="Q23" s="25"/>
      <c r="R23" s="25"/>
      <c r="T23" s="22"/>
      <c r="U23" s="22"/>
      <c r="V23" s="22"/>
      <c r="W23" s="22"/>
      <c r="X23" s="7"/>
    </row>
    <row r="24" spans="1:24">
      <c r="A24" s="12"/>
      <c r="B24" s="12"/>
      <c r="D24" s="22"/>
      <c r="E24" s="22"/>
      <c r="F24" s="22"/>
      <c r="G24" s="22"/>
      <c r="H24" s="22"/>
      <c r="I24" s="22"/>
      <c r="K24" s="25"/>
      <c r="L24" s="25"/>
      <c r="M24" s="25"/>
      <c r="N24" s="25"/>
      <c r="O24" s="25"/>
      <c r="P24" s="25"/>
      <c r="Q24" s="25"/>
      <c r="R24" s="25"/>
      <c r="T24" s="22"/>
      <c r="U24" s="22"/>
      <c r="V24" s="22"/>
      <c r="W24" s="22"/>
      <c r="X24" s="7"/>
    </row>
    <row r="25" spans="1:24">
      <c r="A25" s="12"/>
      <c r="B25" s="12"/>
      <c r="D25" s="22"/>
      <c r="E25" s="22"/>
      <c r="F25" s="22"/>
      <c r="G25" s="22"/>
      <c r="H25" s="22"/>
      <c r="I25" s="22"/>
      <c r="K25" s="25"/>
      <c r="L25" s="25"/>
      <c r="M25" s="25"/>
      <c r="N25" s="25"/>
      <c r="O25" s="25"/>
      <c r="P25" s="25"/>
      <c r="Q25" s="25"/>
      <c r="R25" s="25"/>
      <c r="T25" s="22"/>
      <c r="U25" s="22"/>
      <c r="V25" s="22"/>
      <c r="W25" s="22"/>
      <c r="X25" s="7"/>
    </row>
    <row r="26" spans="1:24">
      <c r="A26" s="12"/>
      <c r="B26" s="12"/>
      <c r="D26" s="22"/>
      <c r="E26" s="22"/>
      <c r="F26" s="22"/>
      <c r="G26" s="22"/>
      <c r="H26" s="22"/>
      <c r="I26" s="22"/>
      <c r="K26" s="25"/>
      <c r="L26" s="25"/>
      <c r="M26" s="25"/>
      <c r="N26" s="25"/>
      <c r="O26" s="25"/>
      <c r="P26" s="25"/>
      <c r="Q26" s="25"/>
      <c r="R26" s="25"/>
      <c r="T26" s="22"/>
      <c r="U26" s="22"/>
      <c r="V26" s="22"/>
      <c r="W26" s="22"/>
      <c r="X26" s="7"/>
    </row>
    <row r="27" spans="1:24">
      <c r="A27" s="12"/>
      <c r="B27" s="12"/>
      <c r="D27" s="22"/>
      <c r="E27" s="22"/>
      <c r="F27" s="22"/>
      <c r="G27" s="22"/>
      <c r="H27" s="22"/>
      <c r="I27" s="22"/>
      <c r="K27" s="25"/>
      <c r="L27" s="25"/>
      <c r="M27" s="25"/>
      <c r="N27" s="25"/>
      <c r="O27" s="25"/>
      <c r="P27" s="25"/>
      <c r="Q27" s="25"/>
      <c r="R27" s="25"/>
      <c r="T27" s="22"/>
      <c r="U27" s="22"/>
      <c r="V27" s="22"/>
      <c r="W27" s="22"/>
      <c r="X27" s="7"/>
    </row>
    <row r="28" spans="1:24">
      <c r="A28" s="12"/>
      <c r="B28" s="12"/>
      <c r="D28" s="22"/>
      <c r="E28" s="22"/>
      <c r="F28" s="22"/>
      <c r="G28" s="22"/>
      <c r="H28" s="22"/>
      <c r="I28" s="22"/>
      <c r="K28" s="25"/>
      <c r="L28" s="25"/>
      <c r="M28" s="25"/>
      <c r="N28" s="25"/>
      <c r="O28" s="25"/>
      <c r="P28" s="25"/>
      <c r="Q28" s="25"/>
      <c r="R28" s="25"/>
      <c r="T28" s="22"/>
      <c r="U28" s="22"/>
      <c r="V28" s="22"/>
      <c r="W28" s="22"/>
      <c r="X28" s="7"/>
    </row>
    <row r="29" spans="1:24">
      <c r="A29" s="12"/>
      <c r="B29" s="12"/>
      <c r="D29" s="22"/>
      <c r="E29" s="22"/>
      <c r="F29" s="22"/>
      <c r="G29" s="22"/>
      <c r="H29" s="22"/>
      <c r="I29" s="22"/>
      <c r="K29" s="25"/>
      <c r="L29" s="25"/>
      <c r="M29" s="25"/>
      <c r="N29" s="25"/>
      <c r="O29" s="25"/>
      <c r="P29" s="25"/>
      <c r="Q29" s="25"/>
      <c r="R29" s="25"/>
      <c r="T29" s="22"/>
      <c r="U29" s="22"/>
      <c r="V29" s="22"/>
      <c r="W29" s="22"/>
      <c r="X29" s="7"/>
    </row>
    <row r="30" spans="1:24">
      <c r="A30" s="12"/>
      <c r="B30" s="12"/>
      <c r="D30" s="22"/>
      <c r="E30" s="22"/>
      <c r="F30" s="22"/>
      <c r="G30" s="22"/>
      <c r="H30" s="22"/>
      <c r="I30" s="22"/>
      <c r="K30" s="25"/>
      <c r="L30" s="25"/>
      <c r="M30" s="25"/>
      <c r="N30" s="25"/>
      <c r="O30" s="25"/>
      <c r="P30" s="25"/>
      <c r="Q30" s="25"/>
      <c r="R30" s="25"/>
      <c r="T30" s="22"/>
      <c r="U30" s="22"/>
      <c r="V30" s="22"/>
      <c r="W30" s="22"/>
      <c r="X30" s="7"/>
    </row>
    <row r="31" spans="1:24">
      <c r="A31" s="12"/>
      <c r="B31" s="12"/>
      <c r="W31" s="23"/>
      <c r="X31" s="23"/>
    </row>
    <row r="32" spans="1:24">
      <c r="A32" s="12"/>
      <c r="B32" s="12"/>
      <c r="W32" s="23"/>
      <c r="X32" s="23"/>
    </row>
    <row r="33" spans="1:24">
      <c r="A33" s="12"/>
      <c r="B33" s="12"/>
      <c r="W33" s="23"/>
      <c r="X33" s="23"/>
    </row>
    <row r="34" spans="1:24">
      <c r="A34" s="12"/>
      <c r="B34" s="12"/>
      <c r="W34" s="23"/>
      <c r="X34" s="23"/>
    </row>
    <row r="35" spans="1:24">
      <c r="W35" s="23"/>
      <c r="X35" s="23"/>
    </row>
  </sheetData>
  <mergeCells count="11">
    <mergeCell ref="K7:R18"/>
    <mergeCell ref="K6:R6"/>
    <mergeCell ref="K21:R30"/>
    <mergeCell ref="T6:W7"/>
    <mergeCell ref="E1:M2"/>
    <mergeCell ref="K20:R20"/>
    <mergeCell ref="D6:F6"/>
    <mergeCell ref="D7:F12"/>
    <mergeCell ref="H6:I6"/>
    <mergeCell ref="H7:I12"/>
    <mergeCell ref="D14:I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Sebastian Harper</cp:lastModifiedBy>
  <cp:revision/>
  <dcterms:created xsi:type="dcterms:W3CDTF">2024-12-19T13:13:10Z</dcterms:created>
  <dcterms:modified xsi:type="dcterms:W3CDTF">2025-12-27T09:00:30Z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